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202300"/>
  <mc:AlternateContent xmlns:mc="http://schemas.openxmlformats.org/markup-compatibility/2006">
    <mc:Choice Requires="x15">
      <x15ac:absPath xmlns:x15ac="http://schemas.microsoft.com/office/spreadsheetml/2010/11/ac" url="/Users/crislfp/Documents/GitHub/Modelo_Prgrsn_CG_FONIS/INPUTS MODEL/"/>
    </mc:Choice>
  </mc:AlternateContent>
  <xr:revisionPtr revIDLastSave="0" documentId="13_ncr:1_{DA5B9024-6A95-AD4C-80C1-210B1C60510B}" xr6:coauthVersionLast="47" xr6:coauthVersionMax="47" xr10:uidLastSave="{00000000-0000-0000-0000-000000000000}"/>
  <bookViews>
    <workbookView xWindow="40" yWindow="1120" windowWidth="30180" windowHeight="18240" activeTab="4" xr2:uid="{912690EB-4569-A54E-92B0-E939BB2C95E5}"/>
  </bookViews>
  <sheets>
    <sheet name="GENERAL_INPUTS" sheetId="16" r:id="rId1"/>
    <sheet name="STRATEGY_NAMES" sheetId="17" r:id="rId2"/>
    <sheet name="STATE_NAMES" sheetId="18" r:id="rId3"/>
    <sheet name="RTI_MODEL" sheetId="27" r:id="rId4"/>
    <sheet name="PROBS_TRANSITION" sheetId="31" r:id="rId5"/>
    <sheet name="PROBS_UREA" sheetId="3" r:id="rId6"/>
    <sheet name="PROBS_AgFECAL" sheetId="4" r:id="rId7"/>
    <sheet name="PROBS_EDA" sheetId="5" r:id="rId8"/>
    <sheet name="PROBS_PSEDA" sheetId="6" r:id="rId9"/>
    <sheet name="PROBS_SEROLOGY" sheetId="7" r:id="rId10"/>
    <sheet name="ERRAD_RATE" sheetId="28" r:id="rId11"/>
    <sheet name="COSTS" sheetId="10" r:id="rId12"/>
    <sheet name="UTILITIES" sheetId="13" r:id="rId13"/>
    <sheet name="PROBS_ACCEPT" sheetId="14" r:id="rId14"/>
    <sheet name="ERRA_COSTS_UF" sheetId="12" r:id="rId15"/>
    <sheet name="DISCOUNT_FACTOR" sheetId="32" r:id="rId16"/>
    <sheet name="PROB_DIE" sheetId="19" r:id="rId17"/>
    <sheet name="PROB_DIE_30_39" sheetId="23" r:id="rId18"/>
    <sheet name="PROB_DIE_31_100" sheetId="20" r:id="rId19"/>
    <sheet name="PROB_DIE_30_44" sheetId="21" r:id="rId20"/>
    <sheet name="PROB_DIE_41_100" sheetId="24" r:id="rId21"/>
    <sheet name="PROB_DIE_46_100" sheetId="22" r:id="rId22"/>
    <sheet name="PROB_DIE_30" sheetId="8" r:id="rId23"/>
    <sheet name="PROB_DIE_40" sheetId="15" r:id="rId24"/>
    <sheet name="PROB_DIE_45" sheetId="9" r:id="rId25"/>
    <sheet name="HR" sheetId="33" r:id="rId26"/>
    <sheet name="PREV_COSTS_UF" sheetId="11" r:id="rId27"/>
    <sheet name="PROBS_TRANSITION_ORG" sheetId="2" r:id="rId28"/>
    <sheet name="PROBS_TRANSITION (2)" sheetId="34" r:id="rId29"/>
    <sheet name="Hoja1" sheetId="35" r:id="rId30"/>
  </sheets>
  <definedNames>
    <definedName name="_xlnm._FilterDatabase" localSheetId="11" hidden="1">COSTS!$A$1:$H$40</definedName>
    <definedName name="_xlnm._FilterDatabase" localSheetId="16" hidden="1">PROB_DIE!$A$1:$G$39</definedName>
    <definedName name="_xlnm._FilterDatabase" localSheetId="22" hidden="1">PROB_DIE_30!$A$1:$I$39</definedName>
    <definedName name="_xlnm._FilterDatabase" localSheetId="17" hidden="1">PROB_DIE_30_39!$A$1:$G$39</definedName>
    <definedName name="_xlnm._FilterDatabase" localSheetId="19" hidden="1">PROB_DIE_30_44!$A$1:$G$39</definedName>
    <definedName name="_xlnm._FilterDatabase" localSheetId="18" hidden="1">PROB_DIE_31_100!$A$1:$G$39</definedName>
    <definedName name="_xlnm._FilterDatabase" localSheetId="23" hidden="1">PROB_DIE_40!$A$1:$I$39</definedName>
    <definedName name="_xlnm._FilterDatabase" localSheetId="20" hidden="1">PROB_DIE_41_100!$A$1:$G$39</definedName>
    <definedName name="_xlnm._FilterDatabase" localSheetId="24" hidden="1">PROB_DIE_45!$A$1:$I$39</definedName>
    <definedName name="_xlnm._FilterDatabase" localSheetId="21" hidden="1">PROB_DIE_46_100!$A$1:$G$39</definedName>
    <definedName name="_xlnm._FilterDatabase" localSheetId="4" hidden="1">PROBS_TRANSITION!$A$1:$I$39</definedName>
    <definedName name="_xlnm._FilterDatabase" localSheetId="28" hidden="1">'PROBS_TRANSITION (2)'!$A$1:$I$60</definedName>
    <definedName name="_xlnm._FilterDatabase" localSheetId="27" hidden="1">PROBS_TRANSITION_ORG!$A$1:$J$60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3" i="35" l="1"/>
  <c r="I62" i="35"/>
  <c r="I61" i="35"/>
  <c r="H61" i="35" s="1"/>
  <c r="I60" i="35"/>
  <c r="I59" i="35"/>
  <c r="H59" i="35" s="1"/>
  <c r="I58" i="35"/>
  <c r="I57" i="35"/>
  <c r="H57" i="35" s="1"/>
  <c r="I56" i="35"/>
  <c r="I55" i="35"/>
  <c r="I54" i="35"/>
  <c r="I53" i="35"/>
  <c r="H53" i="35" s="1"/>
  <c r="I52" i="35"/>
  <c r="G52" i="35" s="1"/>
  <c r="H52" i="35"/>
  <c r="I51" i="35"/>
  <c r="H51" i="35" s="1"/>
  <c r="I50" i="35"/>
  <c r="H50" i="35" s="1"/>
  <c r="I49" i="35"/>
  <c r="G49" i="35" s="1"/>
  <c r="H49" i="35"/>
  <c r="I48" i="35"/>
  <c r="G48" i="35" s="1"/>
  <c r="H48" i="35"/>
  <c r="I47" i="35"/>
  <c r="H47" i="35" s="1"/>
  <c r="I46" i="35"/>
  <c r="H46" i="35" s="1"/>
  <c r="I45" i="35"/>
  <c r="H45" i="35" s="1"/>
  <c r="I44" i="35"/>
  <c r="G44" i="35" s="1"/>
  <c r="H44" i="35"/>
  <c r="I43" i="35"/>
  <c r="G43" i="35" s="1"/>
  <c r="H43" i="35"/>
  <c r="I42" i="35"/>
  <c r="G42" i="35" s="1"/>
  <c r="H42" i="35"/>
  <c r="I41" i="35"/>
  <c r="H41" i="35" s="1"/>
  <c r="I40" i="35"/>
  <c r="H40" i="35" s="1"/>
  <c r="I39" i="35"/>
  <c r="G39" i="35" s="1"/>
  <c r="H39" i="35"/>
  <c r="I38" i="35"/>
  <c r="G38" i="35" s="1"/>
  <c r="H38" i="35"/>
  <c r="I37" i="35"/>
  <c r="G37" i="35" s="1"/>
  <c r="H37" i="35"/>
  <c r="I36" i="35"/>
  <c r="H36" i="35" s="1"/>
  <c r="I35" i="35"/>
  <c r="H35" i="35" s="1"/>
  <c r="I34" i="35"/>
  <c r="G34" i="35" s="1"/>
  <c r="H34" i="35"/>
  <c r="I33" i="35"/>
  <c r="G33" i="35" s="1"/>
  <c r="H33" i="35"/>
  <c r="I32" i="35"/>
  <c r="G32" i="35" s="1"/>
  <c r="H32" i="35"/>
  <c r="I31" i="35"/>
  <c r="H31" i="35" s="1"/>
  <c r="I30" i="35"/>
  <c r="H30" i="35" s="1"/>
  <c r="I29" i="35"/>
  <c r="G29" i="35" s="1"/>
  <c r="H29" i="35"/>
  <c r="I28" i="35"/>
  <c r="G28" i="35" s="1"/>
  <c r="H28" i="35"/>
  <c r="I27" i="35"/>
  <c r="G27" i="35" s="1"/>
  <c r="H27" i="35"/>
  <c r="I26" i="35"/>
  <c r="H26" i="35" s="1"/>
  <c r="I25" i="35"/>
  <c r="H25" i="35" s="1"/>
  <c r="I24" i="35"/>
  <c r="G24" i="35" s="1"/>
  <c r="H24" i="35"/>
  <c r="I23" i="35"/>
  <c r="G23" i="35" s="1"/>
  <c r="H23" i="35"/>
  <c r="I22" i="35"/>
  <c r="G22" i="35" s="1"/>
  <c r="H22" i="35"/>
  <c r="I21" i="35"/>
  <c r="H21" i="35" s="1"/>
  <c r="I20" i="35"/>
  <c r="H20" i="35" s="1"/>
  <c r="I19" i="35"/>
  <c r="G19" i="35" s="1"/>
  <c r="H19" i="35"/>
  <c r="I18" i="35"/>
  <c r="G18" i="35" s="1"/>
  <c r="H18" i="35"/>
  <c r="I17" i="35"/>
  <c r="G17" i="35" s="1"/>
  <c r="H17" i="35"/>
  <c r="I16" i="35"/>
  <c r="H16" i="35" s="1"/>
  <c r="I15" i="35"/>
  <c r="H15" i="35" s="1"/>
  <c r="I14" i="35"/>
  <c r="G14" i="35" s="1"/>
  <c r="H14" i="35"/>
  <c r="I13" i="35"/>
  <c r="G13" i="35" s="1"/>
  <c r="H13" i="35"/>
  <c r="I12" i="35"/>
  <c r="G12" i="35" s="1"/>
  <c r="H12" i="35"/>
  <c r="I11" i="35"/>
  <c r="H11" i="35" s="1"/>
  <c r="I10" i="35"/>
  <c r="H10" i="35" s="1"/>
  <c r="I9" i="35"/>
  <c r="G9" i="35" s="1"/>
  <c r="H9" i="35"/>
  <c r="I8" i="35"/>
  <c r="G8" i="35" s="1"/>
  <c r="H8" i="35"/>
  <c r="I7" i="35"/>
  <c r="H7" i="35"/>
  <c r="B7" i="35"/>
  <c r="G7" i="35" s="1"/>
  <c r="I6" i="35"/>
  <c r="H6" i="35" s="1"/>
  <c r="G6" i="35"/>
  <c r="I5" i="35"/>
  <c r="H5" i="35" s="1"/>
  <c r="I4" i="35"/>
  <c r="H4" i="35" s="1"/>
  <c r="I3" i="35"/>
  <c r="H3" i="35" s="1"/>
  <c r="G3" i="35"/>
  <c r="I2" i="35"/>
  <c r="H2" i="35" s="1"/>
  <c r="I3" i="31"/>
  <c r="I4" i="31"/>
  <c r="I5" i="31"/>
  <c r="I6" i="31"/>
  <c r="I8" i="31"/>
  <c r="G8" i="31" s="1"/>
  <c r="I9" i="31"/>
  <c r="G9" i="31" s="1"/>
  <c r="I10" i="31"/>
  <c r="G10" i="31" s="1"/>
  <c r="I11" i="31"/>
  <c r="G11" i="31" s="1"/>
  <c r="I12" i="31"/>
  <c r="H12" i="31" s="1"/>
  <c r="I13" i="31"/>
  <c r="H13" i="31" s="1"/>
  <c r="I14" i="31"/>
  <c r="H14" i="31" s="1"/>
  <c r="I15" i="31"/>
  <c r="G15" i="31" s="1"/>
  <c r="I2" i="31"/>
  <c r="G6" i="31"/>
  <c r="H6" i="31"/>
  <c r="H8" i="31"/>
  <c r="H9" i="31"/>
  <c r="H10" i="31"/>
  <c r="H11" i="31"/>
  <c r="I40" i="31"/>
  <c r="G40" i="31" s="1"/>
  <c r="I41" i="31"/>
  <c r="G41" i="31" s="1"/>
  <c r="I42" i="31"/>
  <c r="G42" i="31" s="1"/>
  <c r="I43" i="31"/>
  <c r="G43" i="31" s="1"/>
  <c r="I60" i="34"/>
  <c r="H60" i="34"/>
  <c r="G60" i="34"/>
  <c r="I59" i="34"/>
  <c r="G59" i="34" s="1"/>
  <c r="H59" i="34"/>
  <c r="I58" i="34"/>
  <c r="H58" i="34" s="1"/>
  <c r="I57" i="34"/>
  <c r="H57" i="34" s="1"/>
  <c r="I56" i="34"/>
  <c r="G56" i="34" s="1"/>
  <c r="I55" i="34"/>
  <c r="H55" i="34"/>
  <c r="G55" i="34"/>
  <c r="I54" i="34"/>
  <c r="H54" i="34"/>
  <c r="G54" i="34"/>
  <c r="I53" i="34"/>
  <c r="H53" i="34"/>
  <c r="G53" i="34"/>
  <c r="I52" i="34"/>
  <c r="H52" i="34"/>
  <c r="G52" i="34"/>
  <c r="I51" i="34"/>
  <c r="H51" i="34"/>
  <c r="G51" i="34"/>
  <c r="I50" i="34"/>
  <c r="H50" i="34"/>
  <c r="G50" i="34"/>
  <c r="I49" i="34"/>
  <c r="H49" i="34"/>
  <c r="G49" i="34"/>
  <c r="I48" i="34"/>
  <c r="H48" i="34"/>
  <c r="G48" i="34"/>
  <c r="I47" i="34"/>
  <c r="H47" i="34"/>
  <c r="G47" i="34"/>
  <c r="I46" i="34"/>
  <c r="H46" i="34"/>
  <c r="G46" i="34"/>
  <c r="I45" i="34"/>
  <c r="H45" i="34"/>
  <c r="G45" i="34"/>
  <c r="I44" i="34"/>
  <c r="H44" i="34"/>
  <c r="G44" i="34"/>
  <c r="I43" i="34"/>
  <c r="H43" i="34"/>
  <c r="G43" i="34"/>
  <c r="I42" i="34"/>
  <c r="H42" i="34"/>
  <c r="G42" i="34"/>
  <c r="I41" i="34"/>
  <c r="H41" i="34"/>
  <c r="G41" i="34"/>
  <c r="I40" i="34"/>
  <c r="H40" i="34"/>
  <c r="G40" i="34"/>
  <c r="I39" i="34"/>
  <c r="H39" i="34"/>
  <c r="G39" i="34"/>
  <c r="I38" i="34"/>
  <c r="H38" i="34"/>
  <c r="G38" i="34"/>
  <c r="I37" i="34"/>
  <c r="H37" i="34"/>
  <c r="G37" i="34"/>
  <c r="I36" i="34"/>
  <c r="H36" i="34"/>
  <c r="G36" i="34"/>
  <c r="I35" i="34"/>
  <c r="H35" i="34"/>
  <c r="G35" i="34"/>
  <c r="I34" i="34"/>
  <c r="H34" i="34"/>
  <c r="G34" i="34"/>
  <c r="I33" i="34"/>
  <c r="H33" i="34"/>
  <c r="G33" i="34"/>
  <c r="I32" i="34"/>
  <c r="H32" i="34"/>
  <c r="G32" i="34"/>
  <c r="I31" i="34"/>
  <c r="H31" i="34"/>
  <c r="G31" i="34"/>
  <c r="I30" i="34"/>
  <c r="H30" i="34"/>
  <c r="G30" i="34"/>
  <c r="I29" i="34"/>
  <c r="H29" i="34"/>
  <c r="G29" i="34"/>
  <c r="I28" i="34"/>
  <c r="H28" i="34"/>
  <c r="G28" i="34"/>
  <c r="I27" i="34"/>
  <c r="H27" i="34"/>
  <c r="G27" i="34"/>
  <c r="I26" i="34"/>
  <c r="H26" i="34"/>
  <c r="G26" i="34"/>
  <c r="I25" i="34"/>
  <c r="H25" i="34"/>
  <c r="G25" i="34"/>
  <c r="I24" i="34"/>
  <c r="H24" i="34"/>
  <c r="G24" i="34"/>
  <c r="I23" i="34"/>
  <c r="H23" i="34"/>
  <c r="G23" i="34"/>
  <c r="I22" i="34"/>
  <c r="H22" i="34"/>
  <c r="G22" i="34"/>
  <c r="I21" i="34"/>
  <c r="H21" i="34"/>
  <c r="G21" i="34"/>
  <c r="I20" i="34"/>
  <c r="I19" i="34"/>
  <c r="I18" i="34"/>
  <c r="H18" i="34" s="1"/>
  <c r="G18" i="34"/>
  <c r="I17" i="34"/>
  <c r="H17" i="34"/>
  <c r="G17" i="34"/>
  <c r="I16" i="34"/>
  <c r="I15" i="34"/>
  <c r="H15" i="34"/>
  <c r="G15" i="34"/>
  <c r="I14" i="34"/>
  <c r="I13" i="34"/>
  <c r="G13" i="34" s="1"/>
  <c r="H13" i="34"/>
  <c r="I12" i="34"/>
  <c r="I11" i="34"/>
  <c r="I10" i="34"/>
  <c r="I9" i="34"/>
  <c r="H9" i="34"/>
  <c r="G9" i="34"/>
  <c r="I8" i="34"/>
  <c r="G8" i="34" s="1"/>
  <c r="H8" i="34"/>
  <c r="I7" i="34"/>
  <c r="H7" i="34"/>
  <c r="G7" i="34"/>
  <c r="I6" i="34"/>
  <c r="G6" i="34" s="1"/>
  <c r="H6" i="34"/>
  <c r="I5" i="34"/>
  <c r="H5" i="34" s="1"/>
  <c r="I4" i="34"/>
  <c r="H4" i="34"/>
  <c r="G4" i="34"/>
  <c r="I3" i="34"/>
  <c r="G3" i="34" s="1"/>
  <c r="H3" i="34"/>
  <c r="I2" i="34"/>
  <c r="H2" i="34"/>
  <c r="G2" i="34"/>
  <c r="G8" i="14"/>
  <c r="G9" i="14"/>
  <c r="G10" i="14"/>
  <c r="G11" i="14"/>
  <c r="G12" i="14"/>
  <c r="G13" i="14"/>
  <c r="H8" i="14"/>
  <c r="H9" i="14"/>
  <c r="H10" i="14"/>
  <c r="H11" i="14"/>
  <c r="H12" i="14"/>
  <c r="H13" i="14"/>
  <c r="F8" i="14"/>
  <c r="F9" i="14"/>
  <c r="F10" i="14"/>
  <c r="F11" i="14"/>
  <c r="F12" i="14"/>
  <c r="F13" i="14"/>
  <c r="I34" i="31"/>
  <c r="H34" i="31" s="1"/>
  <c r="I39" i="31"/>
  <c r="H39" i="31" s="1"/>
  <c r="I38" i="31"/>
  <c r="G38" i="31" s="1"/>
  <c r="I37" i="31"/>
  <c r="H37" i="31" s="1"/>
  <c r="I36" i="31"/>
  <c r="H36" i="31" s="1"/>
  <c r="I35" i="31"/>
  <c r="H35" i="31" s="1"/>
  <c r="I33" i="31"/>
  <c r="H33" i="31" s="1"/>
  <c r="I32" i="31"/>
  <c r="H32" i="31" s="1"/>
  <c r="I31" i="31"/>
  <c r="G31" i="31" s="1"/>
  <c r="I30" i="31"/>
  <c r="H30" i="31" s="1"/>
  <c r="I29" i="31"/>
  <c r="G29" i="31" s="1"/>
  <c r="I28" i="31"/>
  <c r="H28" i="31" s="1"/>
  <c r="I27" i="31"/>
  <c r="H27" i="31" s="1"/>
  <c r="I26" i="31"/>
  <c r="G26" i="31" s="1"/>
  <c r="I25" i="31"/>
  <c r="G25" i="31" s="1"/>
  <c r="I24" i="31"/>
  <c r="G24" i="31" s="1"/>
  <c r="I23" i="31"/>
  <c r="G23" i="31" s="1"/>
  <c r="I22" i="31"/>
  <c r="H22" i="31" s="1"/>
  <c r="I21" i="31"/>
  <c r="H21" i="31" s="1"/>
  <c r="I20" i="31"/>
  <c r="G20" i="31" s="1"/>
  <c r="I19" i="31"/>
  <c r="G19" i="31" s="1"/>
  <c r="I18" i="31"/>
  <c r="G18" i="31" s="1"/>
  <c r="I17" i="31"/>
  <c r="G17" i="31" s="1"/>
  <c r="I16" i="31"/>
  <c r="H16" i="31" s="1"/>
  <c r="I45" i="31"/>
  <c r="H45" i="31" s="1"/>
  <c r="I44" i="31"/>
  <c r="H44" i="31" s="1"/>
  <c r="I53" i="31"/>
  <c r="H53" i="31" s="1"/>
  <c r="I51" i="31"/>
  <c r="G51" i="31" s="1"/>
  <c r="I49" i="31"/>
  <c r="G49" i="31" s="1"/>
  <c r="I47" i="31"/>
  <c r="G47" i="31" s="1"/>
  <c r="H5" i="31"/>
  <c r="I63" i="31"/>
  <c r="I62" i="31"/>
  <c r="G3" i="31"/>
  <c r="I61" i="31"/>
  <c r="H61" i="31" s="1"/>
  <c r="I60" i="31"/>
  <c r="I59" i="31"/>
  <c r="H59" i="31" s="1"/>
  <c r="I58" i="31"/>
  <c r="I57" i="31"/>
  <c r="H57" i="31" s="1"/>
  <c r="I56" i="31"/>
  <c r="I55" i="31"/>
  <c r="I54" i="31"/>
  <c r="I52" i="31"/>
  <c r="H52" i="31" s="1"/>
  <c r="I50" i="31"/>
  <c r="H50" i="31" s="1"/>
  <c r="I48" i="31"/>
  <c r="G48" i="31" s="1"/>
  <c r="I46" i="31"/>
  <c r="G46" i="31" s="1"/>
  <c r="H4" i="31"/>
  <c r="H2" i="31"/>
  <c r="B21" i="2"/>
  <c r="J21" i="2" s="1"/>
  <c r="H21" i="2" s="1"/>
  <c r="J29" i="2"/>
  <c r="H29" i="2" s="1"/>
  <c r="E26" i="11"/>
  <c r="E15" i="11"/>
  <c r="E16" i="11"/>
  <c r="E17" i="11"/>
  <c r="E18" i="11"/>
  <c r="E19" i="11"/>
  <c r="E20" i="11"/>
  <c r="E21" i="11"/>
  <c r="E22" i="11"/>
  <c r="E14" i="11"/>
  <c r="D26" i="11"/>
  <c r="H3" i="13"/>
  <c r="H4" i="13"/>
  <c r="F4" i="13" s="1"/>
  <c r="H5" i="13"/>
  <c r="H6" i="13"/>
  <c r="F6" i="13" s="1"/>
  <c r="H7" i="13"/>
  <c r="G7" i="13" s="1"/>
  <c r="H8" i="13"/>
  <c r="F8" i="13" s="1"/>
  <c r="H9" i="13"/>
  <c r="F9" i="13" s="1"/>
  <c r="H10" i="13"/>
  <c r="F10" i="13" s="1"/>
  <c r="H11" i="13"/>
  <c r="H12" i="13"/>
  <c r="F12" i="13" s="1"/>
  <c r="H13" i="13"/>
  <c r="H14" i="13"/>
  <c r="H15" i="13"/>
  <c r="H16" i="13"/>
  <c r="F16" i="13" s="1"/>
  <c r="H17" i="13"/>
  <c r="F17" i="13" s="1"/>
  <c r="H18" i="13"/>
  <c r="F18" i="13" s="1"/>
  <c r="H19" i="13"/>
  <c r="H20" i="13"/>
  <c r="F20" i="13" s="1"/>
  <c r="H21" i="13"/>
  <c r="H22" i="13"/>
  <c r="H23" i="13"/>
  <c r="H24" i="13"/>
  <c r="F24" i="13" s="1"/>
  <c r="H25" i="13"/>
  <c r="F25" i="13" s="1"/>
  <c r="H26" i="13"/>
  <c r="F26" i="13" s="1"/>
  <c r="H27" i="13"/>
  <c r="H28" i="13"/>
  <c r="F28" i="13" s="1"/>
  <c r="H29" i="13"/>
  <c r="H30" i="13"/>
  <c r="H31" i="13"/>
  <c r="H32" i="13"/>
  <c r="F32" i="13" s="1"/>
  <c r="H33" i="13"/>
  <c r="F33" i="13" s="1"/>
  <c r="H34" i="13"/>
  <c r="F34" i="13" s="1"/>
  <c r="H35" i="13"/>
  <c r="H36" i="13"/>
  <c r="F36" i="13" s="1"/>
  <c r="H37" i="13"/>
  <c r="H38" i="13"/>
  <c r="H39" i="13"/>
  <c r="H40" i="13"/>
  <c r="H2" i="13"/>
  <c r="G2" i="13" s="1"/>
  <c r="G3" i="13"/>
  <c r="G5" i="13"/>
  <c r="G6" i="13"/>
  <c r="G10" i="13"/>
  <c r="G11" i="13"/>
  <c r="G12" i="13"/>
  <c r="G13" i="13"/>
  <c r="G14" i="13"/>
  <c r="G15" i="13"/>
  <c r="G16" i="13"/>
  <c r="G17" i="13"/>
  <c r="G18" i="13"/>
  <c r="G19" i="13"/>
  <c r="G20" i="13"/>
  <c r="G21" i="13"/>
  <c r="G22" i="13"/>
  <c r="G23" i="13"/>
  <c r="G24" i="13"/>
  <c r="G25" i="13"/>
  <c r="G26" i="13"/>
  <c r="G27" i="13"/>
  <c r="G28" i="13"/>
  <c r="G29" i="13"/>
  <c r="G30" i="13"/>
  <c r="G31" i="13"/>
  <c r="G32" i="13"/>
  <c r="G33" i="13"/>
  <c r="G34" i="13"/>
  <c r="G35" i="13"/>
  <c r="G36" i="13"/>
  <c r="G37" i="13"/>
  <c r="G38" i="13"/>
  <c r="G39" i="13"/>
  <c r="F3" i="13"/>
  <c r="F5" i="13"/>
  <c r="F11" i="13"/>
  <c r="F13" i="13"/>
  <c r="F14" i="13"/>
  <c r="F15" i="13"/>
  <c r="F19" i="13"/>
  <c r="F21" i="13"/>
  <c r="F22" i="13"/>
  <c r="F23" i="13"/>
  <c r="F27" i="13"/>
  <c r="F29" i="13"/>
  <c r="F30" i="13"/>
  <c r="F31" i="13"/>
  <c r="F35" i="13"/>
  <c r="F37" i="13"/>
  <c r="F38" i="13"/>
  <c r="F39" i="13"/>
  <c r="G3" i="12"/>
  <c r="G4" i="12"/>
  <c r="G5" i="12"/>
  <c r="G6" i="12"/>
  <c r="G7" i="12"/>
  <c r="G8" i="12"/>
  <c r="G9" i="12"/>
  <c r="F3" i="12"/>
  <c r="F4" i="12"/>
  <c r="F5" i="12"/>
  <c r="F6" i="12"/>
  <c r="F7" i="12"/>
  <c r="F8" i="12"/>
  <c r="F9" i="12"/>
  <c r="G2" i="12"/>
  <c r="F2" i="12"/>
  <c r="F2" i="11"/>
  <c r="G16" i="10"/>
  <c r="G17" i="10"/>
  <c r="G18" i="10"/>
  <c r="G19" i="10"/>
  <c r="G20" i="10"/>
  <c r="G21" i="10"/>
  <c r="G22" i="10"/>
  <c r="G23" i="10"/>
  <c r="G24" i="10"/>
  <c r="G25" i="10"/>
  <c r="G26" i="10"/>
  <c r="G27" i="10"/>
  <c r="G28" i="10"/>
  <c r="G29" i="10"/>
  <c r="G30" i="10"/>
  <c r="G31" i="10"/>
  <c r="G32" i="10"/>
  <c r="G33" i="10"/>
  <c r="G34" i="10"/>
  <c r="G35" i="10"/>
  <c r="G36" i="10"/>
  <c r="G37" i="10"/>
  <c r="G38" i="10"/>
  <c r="G39" i="10"/>
  <c r="H3" i="9"/>
  <c r="H4" i="9"/>
  <c r="H5" i="9"/>
  <c r="H6" i="9"/>
  <c r="H18" i="9"/>
  <c r="F16" i="10"/>
  <c r="F17" i="10"/>
  <c r="F18" i="10"/>
  <c r="F19" i="10"/>
  <c r="F20" i="10"/>
  <c r="F21" i="10"/>
  <c r="F22" i="10"/>
  <c r="F23" i="10"/>
  <c r="F24" i="10"/>
  <c r="F25" i="10"/>
  <c r="F26" i="10"/>
  <c r="F27" i="10"/>
  <c r="F28" i="10"/>
  <c r="F29" i="10"/>
  <c r="F30" i="10"/>
  <c r="F31" i="10"/>
  <c r="F32" i="10"/>
  <c r="F33" i="10"/>
  <c r="F34" i="10"/>
  <c r="F35" i="10"/>
  <c r="F36" i="10"/>
  <c r="F37" i="10"/>
  <c r="F38" i="10"/>
  <c r="F39" i="10"/>
  <c r="G33" i="9"/>
  <c r="G34" i="9"/>
  <c r="G35" i="9"/>
  <c r="H9" i="15"/>
  <c r="H10" i="15"/>
  <c r="H24" i="15"/>
  <c r="H25" i="15"/>
  <c r="H26" i="15"/>
  <c r="H39" i="15"/>
  <c r="G3" i="15"/>
  <c r="G4" i="15"/>
  <c r="G24" i="15"/>
  <c r="G25" i="15"/>
  <c r="G26" i="15"/>
  <c r="G27" i="15"/>
  <c r="G39" i="15"/>
  <c r="H2" i="15"/>
  <c r="G2" i="15"/>
  <c r="H6" i="8"/>
  <c r="H7" i="8"/>
  <c r="H8" i="8"/>
  <c r="H9" i="8"/>
  <c r="H10" i="8"/>
  <c r="H21" i="8"/>
  <c r="H22" i="8"/>
  <c r="H23" i="8"/>
  <c r="H37" i="8"/>
  <c r="G3" i="8"/>
  <c r="G15" i="8"/>
  <c r="G16" i="8"/>
  <c r="G17" i="8"/>
  <c r="G30" i="8"/>
  <c r="G31" i="8"/>
  <c r="G32" i="8"/>
  <c r="G33" i="8"/>
  <c r="G38" i="8"/>
  <c r="G39" i="8"/>
  <c r="H2" i="8"/>
  <c r="G2" i="8"/>
  <c r="G3" i="5"/>
  <c r="G4" i="5"/>
  <c r="H2" i="5"/>
  <c r="G2" i="5"/>
  <c r="H4" i="4"/>
  <c r="H3" i="14"/>
  <c r="G3" i="14" s="1"/>
  <c r="H4" i="14"/>
  <c r="G4" i="14" s="1"/>
  <c r="H5" i="14"/>
  <c r="G5" i="14" s="1"/>
  <c r="H6" i="14"/>
  <c r="G6" i="14" s="1"/>
  <c r="H7" i="14"/>
  <c r="G7" i="14" s="1"/>
  <c r="H2" i="14"/>
  <c r="G2" i="14" s="1"/>
  <c r="H3" i="12"/>
  <c r="H4" i="12"/>
  <c r="H5" i="12"/>
  <c r="H6" i="12"/>
  <c r="H7" i="12"/>
  <c r="H8" i="12"/>
  <c r="H9" i="12"/>
  <c r="H2" i="12"/>
  <c r="H3" i="11"/>
  <c r="F3" i="11" s="1"/>
  <c r="H4" i="11"/>
  <c r="F4" i="11" s="1"/>
  <c r="H5" i="11"/>
  <c r="G5" i="11" s="1"/>
  <c r="H6" i="11"/>
  <c r="G6" i="11" s="1"/>
  <c r="H2" i="11"/>
  <c r="G2" i="11" s="1"/>
  <c r="H3" i="10"/>
  <c r="H4" i="10"/>
  <c r="H5" i="10"/>
  <c r="H6"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2" i="10"/>
  <c r="I3" i="9"/>
  <c r="G3" i="9" s="1"/>
  <c r="I4" i="9"/>
  <c r="G4" i="9" s="1"/>
  <c r="I5" i="9"/>
  <c r="G5" i="9" s="1"/>
  <c r="I6" i="9"/>
  <c r="G6" i="9" s="1"/>
  <c r="I7" i="9"/>
  <c r="H7" i="9" s="1"/>
  <c r="I8" i="9"/>
  <c r="H8" i="9" s="1"/>
  <c r="I9" i="9"/>
  <c r="H9" i="9" s="1"/>
  <c r="I10" i="9"/>
  <c r="G10" i="9" s="1"/>
  <c r="I11" i="9"/>
  <c r="G11" i="9" s="1"/>
  <c r="I12" i="9"/>
  <c r="H12" i="9" s="1"/>
  <c r="I13" i="9"/>
  <c r="G13" i="9" s="1"/>
  <c r="I14" i="9"/>
  <c r="H14" i="9" s="1"/>
  <c r="I15" i="9"/>
  <c r="H15" i="9" s="1"/>
  <c r="I16" i="9"/>
  <c r="G16" i="9" s="1"/>
  <c r="I17" i="9"/>
  <c r="H17" i="9" s="1"/>
  <c r="I18" i="9"/>
  <c r="G18" i="9" s="1"/>
  <c r="I19" i="9"/>
  <c r="H19" i="9" s="1"/>
  <c r="I20" i="9"/>
  <c r="H20" i="9" s="1"/>
  <c r="I21" i="9"/>
  <c r="G21" i="9" s="1"/>
  <c r="I22" i="9"/>
  <c r="H22" i="9" s="1"/>
  <c r="I23" i="9"/>
  <c r="H23" i="9" s="1"/>
  <c r="I24" i="9"/>
  <c r="H24" i="9" s="1"/>
  <c r="I25" i="9"/>
  <c r="G25" i="9" s="1"/>
  <c r="I26" i="9"/>
  <c r="H26" i="9" s="1"/>
  <c r="I27" i="9"/>
  <c r="H27" i="9" s="1"/>
  <c r="I28" i="9"/>
  <c r="H28" i="9" s="1"/>
  <c r="I29" i="9"/>
  <c r="H29" i="9" s="1"/>
  <c r="I30" i="9"/>
  <c r="H30" i="9" s="1"/>
  <c r="I31" i="9"/>
  <c r="G31" i="9" s="1"/>
  <c r="I32" i="9"/>
  <c r="G32" i="9" s="1"/>
  <c r="I33" i="9"/>
  <c r="H33" i="9" s="1"/>
  <c r="I34" i="9"/>
  <c r="H34" i="9" s="1"/>
  <c r="I35" i="9"/>
  <c r="H35" i="9" s="1"/>
  <c r="I36" i="9"/>
  <c r="G36" i="9" s="1"/>
  <c r="I37" i="9"/>
  <c r="H37" i="9" s="1"/>
  <c r="I38" i="9"/>
  <c r="H38" i="9" s="1"/>
  <c r="I39" i="9"/>
  <c r="H39" i="9" s="1"/>
  <c r="I2" i="9"/>
  <c r="H2" i="9" s="1"/>
  <c r="I3" i="15"/>
  <c r="H3" i="15" s="1"/>
  <c r="I4" i="15"/>
  <c r="H4" i="15" s="1"/>
  <c r="I5" i="15"/>
  <c r="G5" i="15" s="1"/>
  <c r="I6" i="15"/>
  <c r="G6" i="15" s="1"/>
  <c r="I7" i="15"/>
  <c r="G7" i="15" s="1"/>
  <c r="I8" i="15"/>
  <c r="H8" i="15" s="1"/>
  <c r="I9" i="15"/>
  <c r="G9" i="15" s="1"/>
  <c r="I10" i="15"/>
  <c r="G10" i="15" s="1"/>
  <c r="I11" i="15"/>
  <c r="G11" i="15" s="1"/>
  <c r="I12" i="15"/>
  <c r="H12" i="15" s="1"/>
  <c r="I13" i="15"/>
  <c r="H13" i="15" s="1"/>
  <c r="I14" i="15"/>
  <c r="H14" i="15" s="1"/>
  <c r="I15" i="15"/>
  <c r="H15" i="15" s="1"/>
  <c r="I16" i="15"/>
  <c r="H16" i="15" s="1"/>
  <c r="I17" i="15"/>
  <c r="H17" i="15" s="1"/>
  <c r="I18" i="15"/>
  <c r="H18" i="15" s="1"/>
  <c r="I19" i="15"/>
  <c r="H19" i="15" s="1"/>
  <c r="I20" i="15"/>
  <c r="G20" i="15" s="1"/>
  <c r="I21" i="15"/>
  <c r="G21" i="15" s="1"/>
  <c r="I22" i="15"/>
  <c r="G22" i="15" s="1"/>
  <c r="I23" i="15"/>
  <c r="H23" i="15" s="1"/>
  <c r="I24" i="15"/>
  <c r="I25" i="15"/>
  <c r="I26" i="15"/>
  <c r="I27" i="15"/>
  <c r="H27" i="15" s="1"/>
  <c r="I28" i="15"/>
  <c r="H28" i="15" s="1"/>
  <c r="I29" i="15"/>
  <c r="H29" i="15" s="1"/>
  <c r="I30" i="15"/>
  <c r="H30" i="15" s="1"/>
  <c r="I31" i="15"/>
  <c r="H31" i="15" s="1"/>
  <c r="I32" i="15"/>
  <c r="H32" i="15" s="1"/>
  <c r="I33" i="15"/>
  <c r="H33" i="15" s="1"/>
  <c r="I34" i="15"/>
  <c r="H34" i="15" s="1"/>
  <c r="I35" i="15"/>
  <c r="G35" i="15" s="1"/>
  <c r="I36" i="15"/>
  <c r="G36" i="15" s="1"/>
  <c r="I37" i="15"/>
  <c r="H37" i="15" s="1"/>
  <c r="I38" i="15"/>
  <c r="G38" i="15" s="1"/>
  <c r="I39" i="15"/>
  <c r="I2" i="15"/>
  <c r="I3" i="8"/>
  <c r="H3" i="8" s="1"/>
  <c r="I4" i="8"/>
  <c r="G4" i="8" s="1"/>
  <c r="I5" i="8"/>
  <c r="G5" i="8" s="1"/>
  <c r="I6" i="8"/>
  <c r="G6" i="8" s="1"/>
  <c r="I7" i="8"/>
  <c r="G7" i="8" s="1"/>
  <c r="I8" i="8"/>
  <c r="G8" i="8" s="1"/>
  <c r="I9" i="8"/>
  <c r="G9" i="8" s="1"/>
  <c r="I10" i="8"/>
  <c r="G10" i="8" s="1"/>
  <c r="I11" i="8"/>
  <c r="H11" i="8" s="1"/>
  <c r="I12" i="8"/>
  <c r="H12" i="8" s="1"/>
  <c r="I13" i="8"/>
  <c r="H13" i="8" s="1"/>
  <c r="I14" i="8"/>
  <c r="H14" i="8" s="1"/>
  <c r="I15" i="8"/>
  <c r="H15" i="8" s="1"/>
  <c r="I16" i="8"/>
  <c r="H16" i="8" s="1"/>
  <c r="I17" i="8"/>
  <c r="H17" i="8" s="1"/>
  <c r="I18" i="8"/>
  <c r="H18" i="8" s="1"/>
  <c r="I19" i="8"/>
  <c r="G19" i="8" s="1"/>
  <c r="I20" i="8"/>
  <c r="G20" i="8" s="1"/>
  <c r="I21" i="8"/>
  <c r="G21" i="8" s="1"/>
  <c r="I22" i="8"/>
  <c r="G22" i="8" s="1"/>
  <c r="I23" i="8"/>
  <c r="G23" i="8" s="1"/>
  <c r="I24" i="8"/>
  <c r="H24" i="8" s="1"/>
  <c r="I25" i="8"/>
  <c r="G25" i="8" s="1"/>
  <c r="I26" i="8"/>
  <c r="H26" i="8" s="1"/>
  <c r="I27" i="8"/>
  <c r="H27" i="8" s="1"/>
  <c r="I28" i="8"/>
  <c r="H28" i="8" s="1"/>
  <c r="I29" i="8"/>
  <c r="H29" i="8" s="1"/>
  <c r="I30" i="8"/>
  <c r="H30" i="8" s="1"/>
  <c r="I31" i="8"/>
  <c r="H31" i="8" s="1"/>
  <c r="I32" i="8"/>
  <c r="H32" i="8" s="1"/>
  <c r="I33" i="8"/>
  <c r="H33" i="8" s="1"/>
  <c r="I34" i="8"/>
  <c r="G34" i="8" s="1"/>
  <c r="I35" i="8"/>
  <c r="G35" i="8" s="1"/>
  <c r="I36" i="8"/>
  <c r="G36" i="8" s="1"/>
  <c r="I37" i="8"/>
  <c r="G37" i="8" s="1"/>
  <c r="I38" i="8"/>
  <c r="H38" i="8" s="1"/>
  <c r="I39" i="8"/>
  <c r="H39" i="8" s="1"/>
  <c r="I2" i="8"/>
  <c r="I3" i="7"/>
  <c r="H3" i="7" s="1"/>
  <c r="I4" i="7"/>
  <c r="H4" i="7" s="1"/>
  <c r="I5" i="7"/>
  <c r="H5" i="7" s="1"/>
  <c r="I6" i="7"/>
  <c r="G6" i="7" s="1"/>
  <c r="I2" i="7"/>
  <c r="H2" i="7" s="1"/>
  <c r="J3" i="6"/>
  <c r="I3" i="6" s="1"/>
  <c r="J4" i="6"/>
  <c r="I4" i="6" s="1"/>
  <c r="J5" i="6"/>
  <c r="I5" i="6" s="1"/>
  <c r="J6" i="6"/>
  <c r="H6" i="6" s="1"/>
  <c r="J7" i="6"/>
  <c r="H7" i="6" s="1"/>
  <c r="J8" i="6"/>
  <c r="I8" i="6" s="1"/>
  <c r="J9" i="6"/>
  <c r="H9" i="6" s="1"/>
  <c r="J10" i="6"/>
  <c r="I10" i="6" s="1"/>
  <c r="J2" i="6"/>
  <c r="I2" i="6" s="1"/>
  <c r="I3" i="5"/>
  <c r="H3" i="5" s="1"/>
  <c r="I4" i="5"/>
  <c r="H4" i="5" s="1"/>
  <c r="I5" i="5"/>
  <c r="G5" i="5" s="1"/>
  <c r="I6" i="5"/>
  <c r="G6" i="5" s="1"/>
  <c r="I7" i="5"/>
  <c r="H7" i="5" s="1"/>
  <c r="I8" i="5"/>
  <c r="H8" i="5" s="1"/>
  <c r="I9" i="5"/>
  <c r="H9" i="5" s="1"/>
  <c r="I10" i="5"/>
  <c r="H10" i="5" s="1"/>
  <c r="I2" i="5"/>
  <c r="I3" i="4"/>
  <c r="H3" i="4" s="1"/>
  <c r="I4" i="4"/>
  <c r="G4" i="4" s="1"/>
  <c r="I5" i="4"/>
  <c r="H5" i="4" s="1"/>
  <c r="I6" i="4"/>
  <c r="H6" i="4" s="1"/>
  <c r="I2" i="4"/>
  <c r="H2" i="4" s="1"/>
  <c r="I3" i="3"/>
  <c r="G3" i="3" s="1"/>
  <c r="I4" i="3"/>
  <c r="H4" i="3" s="1"/>
  <c r="I5" i="3"/>
  <c r="H5" i="3" s="1"/>
  <c r="I6" i="3"/>
  <c r="H6" i="3" s="1"/>
  <c r="I2" i="3"/>
  <c r="G2" i="3" s="1"/>
  <c r="J3" i="2"/>
  <c r="I3" i="2" s="1"/>
  <c r="J4" i="2"/>
  <c r="I4" i="2" s="1"/>
  <c r="J5" i="2"/>
  <c r="I5" i="2" s="1"/>
  <c r="J6" i="2"/>
  <c r="H6" i="2" s="1"/>
  <c r="J7" i="2"/>
  <c r="H7" i="2" s="1"/>
  <c r="J8" i="2"/>
  <c r="H8" i="2" s="1"/>
  <c r="J9" i="2"/>
  <c r="H9" i="2" s="1"/>
  <c r="J10" i="2"/>
  <c r="J11" i="2"/>
  <c r="J12" i="2"/>
  <c r="J13" i="2"/>
  <c r="I13" i="2" s="1"/>
  <c r="J14" i="2"/>
  <c r="J15" i="2"/>
  <c r="I15" i="2" s="1"/>
  <c r="J16" i="2"/>
  <c r="J17" i="2"/>
  <c r="I17" i="2" s="1"/>
  <c r="J18" i="2"/>
  <c r="I18" i="2" s="1"/>
  <c r="J19" i="2"/>
  <c r="J20" i="2"/>
  <c r="J22" i="2"/>
  <c r="H22" i="2" s="1"/>
  <c r="J23" i="2"/>
  <c r="H23" i="2" s="1"/>
  <c r="J24" i="2"/>
  <c r="H24" i="2" s="1"/>
  <c r="J25" i="2"/>
  <c r="I25" i="2" s="1"/>
  <c r="J26" i="2"/>
  <c r="I26" i="2" s="1"/>
  <c r="J27" i="2"/>
  <c r="I27" i="2" s="1"/>
  <c r="J30" i="2"/>
  <c r="H30" i="2" s="1"/>
  <c r="J31" i="2"/>
  <c r="H31" i="2" s="1"/>
  <c r="J32" i="2"/>
  <c r="H32" i="2" s="1"/>
  <c r="J33" i="2"/>
  <c r="I33" i="2" s="1"/>
  <c r="J34" i="2"/>
  <c r="I34" i="2" s="1"/>
  <c r="J35" i="2"/>
  <c r="I35" i="2" s="1"/>
  <c r="J36" i="2"/>
  <c r="I36" i="2" s="1"/>
  <c r="J37" i="2"/>
  <c r="H37" i="2" s="1"/>
  <c r="J38" i="2"/>
  <c r="H38" i="2" s="1"/>
  <c r="J39" i="2"/>
  <c r="H39" i="2" s="1"/>
  <c r="J40" i="2"/>
  <c r="H40" i="2" s="1"/>
  <c r="J41" i="2"/>
  <c r="I41" i="2" s="1"/>
  <c r="J42" i="2"/>
  <c r="I42" i="2" s="1"/>
  <c r="J43" i="2"/>
  <c r="I43" i="2" s="1"/>
  <c r="J44" i="2"/>
  <c r="I44" i="2" s="1"/>
  <c r="J45" i="2"/>
  <c r="H45" i="2" s="1"/>
  <c r="J46" i="2"/>
  <c r="H46" i="2" s="1"/>
  <c r="J47" i="2"/>
  <c r="H47" i="2" s="1"/>
  <c r="J48" i="2"/>
  <c r="H48" i="2" s="1"/>
  <c r="J49" i="2"/>
  <c r="I49" i="2" s="1"/>
  <c r="J50" i="2"/>
  <c r="I50" i="2" s="1"/>
  <c r="J51" i="2"/>
  <c r="I51" i="2" s="1"/>
  <c r="J52" i="2"/>
  <c r="I52" i="2" s="1"/>
  <c r="J53" i="2"/>
  <c r="H53" i="2" s="1"/>
  <c r="J54" i="2"/>
  <c r="H54" i="2" s="1"/>
  <c r="J55" i="2"/>
  <c r="H55" i="2" s="1"/>
  <c r="J56" i="2"/>
  <c r="H56" i="2" s="1"/>
  <c r="J57" i="2"/>
  <c r="I57" i="2" s="1"/>
  <c r="J58" i="2"/>
  <c r="I58" i="2" s="1"/>
  <c r="J59" i="2"/>
  <c r="I59" i="2" s="1"/>
  <c r="J60" i="2"/>
  <c r="I60" i="2" s="1"/>
  <c r="J2" i="2"/>
  <c r="H2" i="2" s="1"/>
  <c r="H56" i="34" l="1"/>
  <c r="G57" i="34"/>
  <c r="I7" i="31"/>
  <c r="G7" i="31" s="1"/>
  <c r="G5" i="35"/>
  <c r="G10" i="35"/>
  <c r="G15" i="35"/>
  <c r="G20" i="35"/>
  <c r="G25" i="35"/>
  <c r="G30" i="35"/>
  <c r="G35" i="35"/>
  <c r="G40" i="35"/>
  <c r="G45" i="35"/>
  <c r="G50" i="35"/>
  <c r="G57" i="35"/>
  <c r="G11" i="35"/>
  <c r="G16" i="35"/>
  <c r="G21" i="35"/>
  <c r="G26" i="35"/>
  <c r="G31" i="35"/>
  <c r="G36" i="35"/>
  <c r="G41" i="35"/>
  <c r="G46" i="35"/>
  <c r="G51" i="35"/>
  <c r="G59" i="35"/>
  <c r="G2" i="35"/>
  <c r="G47" i="35"/>
  <c r="G61" i="35"/>
  <c r="G53" i="35"/>
  <c r="G4" i="35"/>
  <c r="G12" i="31"/>
  <c r="G14" i="31"/>
  <c r="H15" i="31"/>
  <c r="G13" i="31"/>
  <c r="H40" i="31"/>
  <c r="H41" i="31"/>
  <c r="H43" i="31"/>
  <c r="H42" i="31"/>
  <c r="G5" i="34"/>
  <c r="G58" i="34"/>
  <c r="G20" i="9"/>
  <c r="H21" i="9"/>
  <c r="H36" i="9"/>
  <c r="G19" i="9"/>
  <c r="G17" i="9"/>
  <c r="G30" i="9"/>
  <c r="G15" i="9"/>
  <c r="H31" i="9"/>
  <c r="H16" i="9"/>
  <c r="G29" i="9"/>
  <c r="G14" i="9"/>
  <c r="H11" i="9"/>
  <c r="H32" i="9"/>
  <c r="G28" i="9"/>
  <c r="H13" i="9"/>
  <c r="G26" i="9"/>
  <c r="G39" i="9"/>
  <c r="G24" i="9"/>
  <c r="G9" i="9"/>
  <c r="H25" i="9"/>
  <c r="H10" i="9"/>
  <c r="G38" i="9"/>
  <c r="G23" i="9"/>
  <c r="G8" i="9"/>
  <c r="G27" i="9"/>
  <c r="G37" i="9"/>
  <c r="G22" i="9"/>
  <c r="G7" i="9"/>
  <c r="G12" i="9"/>
  <c r="G2" i="9"/>
  <c r="G17" i="15"/>
  <c r="H11" i="15"/>
  <c r="G16" i="15"/>
  <c r="G32" i="15"/>
  <c r="G13" i="15"/>
  <c r="G14" i="15"/>
  <c r="G31" i="15"/>
  <c r="G12" i="15"/>
  <c r="G30" i="15"/>
  <c r="G34" i="15"/>
  <c r="G33" i="15"/>
  <c r="G29" i="15"/>
  <c r="G19" i="15"/>
  <c r="G18" i="15"/>
  <c r="G15" i="15"/>
  <c r="G28" i="15"/>
  <c r="H7" i="15"/>
  <c r="H38" i="15"/>
  <c r="H36" i="15"/>
  <c r="H20" i="15"/>
  <c r="G23" i="15"/>
  <c r="G8" i="15"/>
  <c r="H22" i="15"/>
  <c r="H21" i="15"/>
  <c r="H5" i="15"/>
  <c r="G37" i="15"/>
  <c r="H6" i="15"/>
  <c r="H35" i="15"/>
  <c r="H36" i="8"/>
  <c r="H25" i="8"/>
  <c r="G14" i="8"/>
  <c r="G11" i="8"/>
  <c r="G29" i="8"/>
  <c r="G26" i="8"/>
  <c r="G24" i="8"/>
  <c r="G18" i="8"/>
  <c r="G28" i="8"/>
  <c r="G13" i="8"/>
  <c r="H35" i="8"/>
  <c r="H20" i="8"/>
  <c r="H5" i="8"/>
  <c r="G27" i="8"/>
  <c r="G12" i="8"/>
  <c r="H34" i="8"/>
  <c r="H19" i="8"/>
  <c r="H4" i="8"/>
  <c r="G44" i="31"/>
  <c r="G32" i="31"/>
  <c r="H18" i="31"/>
  <c r="H29" i="31"/>
  <c r="H31" i="31"/>
  <c r="G16" i="31"/>
  <c r="G59" i="31"/>
  <c r="G57" i="31"/>
  <c r="G4" i="31"/>
  <c r="G30" i="31"/>
  <c r="H49" i="31"/>
  <c r="G27" i="31"/>
  <c r="H48" i="31"/>
  <c r="H47" i="31"/>
  <c r="H3" i="31"/>
  <c r="H20" i="31"/>
  <c r="G50" i="31"/>
  <c r="G21" i="31"/>
  <c r="H17" i="31"/>
  <c r="H26" i="31"/>
  <c r="G33" i="31"/>
  <c r="G53" i="31"/>
  <c r="G61" i="31"/>
  <c r="G22" i="31"/>
  <c r="H51" i="31"/>
  <c r="H19" i="31"/>
  <c r="G28" i="31"/>
  <c r="H24" i="31"/>
  <c r="H25" i="31"/>
  <c r="H23" i="31"/>
  <c r="H46" i="31"/>
  <c r="H38" i="31"/>
  <c r="G52" i="31"/>
  <c r="G5" i="31"/>
  <c r="G45" i="31"/>
  <c r="G36" i="31"/>
  <c r="G39" i="31"/>
  <c r="G2" i="31"/>
  <c r="G37" i="31"/>
  <c r="G34" i="31"/>
  <c r="G35" i="31"/>
  <c r="J28" i="2"/>
  <c r="I28" i="2" s="1"/>
  <c r="F2" i="14"/>
  <c r="F6" i="11"/>
  <c r="G4" i="11"/>
  <c r="G3" i="11"/>
  <c r="F5" i="11"/>
  <c r="H5" i="5"/>
  <c r="H6" i="5"/>
  <c r="G9" i="5"/>
  <c r="G3" i="4"/>
  <c r="H8" i="6"/>
  <c r="G5" i="7"/>
  <c r="G4" i="7"/>
  <c r="G3" i="7"/>
  <c r="H6" i="7"/>
  <c r="I9" i="6"/>
  <c r="I7" i="6"/>
  <c r="I6" i="6"/>
  <c r="H5" i="6"/>
  <c r="H2" i="6"/>
  <c r="H4" i="6"/>
  <c r="H3" i="6"/>
  <c r="H10" i="6"/>
  <c r="G7" i="5"/>
  <c r="G10" i="5"/>
  <c r="G8" i="5"/>
  <c r="G5" i="4"/>
  <c r="G2" i="4"/>
  <c r="G6" i="4"/>
  <c r="G5" i="3"/>
  <c r="G4" i="3"/>
  <c r="H2" i="3"/>
  <c r="H3" i="3"/>
  <c r="G6" i="3"/>
  <c r="H60" i="2"/>
  <c r="H52" i="2"/>
  <c r="H44" i="2"/>
  <c r="H36" i="2"/>
  <c r="H18" i="2"/>
  <c r="H5" i="2"/>
  <c r="I56" i="2"/>
  <c r="I48" i="2"/>
  <c r="I40" i="2"/>
  <c r="I32" i="2"/>
  <c r="I24" i="2"/>
  <c r="I9" i="2"/>
  <c r="H59" i="2"/>
  <c r="H51" i="2"/>
  <c r="H43" i="2"/>
  <c r="H35" i="2"/>
  <c r="H27" i="2"/>
  <c r="H17" i="2"/>
  <c r="H4" i="2"/>
  <c r="I55" i="2"/>
  <c r="I47" i="2"/>
  <c r="I39" i="2"/>
  <c r="I31" i="2"/>
  <c r="I23" i="2"/>
  <c r="I8" i="2"/>
  <c r="H58" i="2"/>
  <c r="H50" i="2"/>
  <c r="H42" i="2"/>
  <c r="H34" i="2"/>
  <c r="H26" i="2"/>
  <c r="H15" i="2"/>
  <c r="H3" i="2"/>
  <c r="I54" i="2"/>
  <c r="I46" i="2"/>
  <c r="I38" i="2"/>
  <c r="I30" i="2"/>
  <c r="I22" i="2"/>
  <c r="I7" i="2"/>
  <c r="H57" i="2"/>
  <c r="H49" i="2"/>
  <c r="H41" i="2"/>
  <c r="H33" i="2"/>
  <c r="H25" i="2"/>
  <c r="H13" i="2"/>
  <c r="I2" i="2"/>
  <c r="I53" i="2"/>
  <c r="I45" i="2"/>
  <c r="I37" i="2"/>
  <c r="I29" i="2"/>
  <c r="I21" i="2"/>
  <c r="I6" i="2"/>
  <c r="F7" i="13"/>
  <c r="G4" i="13"/>
  <c r="G9" i="13"/>
  <c r="G8" i="13"/>
  <c r="F2" i="13"/>
  <c r="F7" i="14"/>
  <c r="F6" i="14"/>
  <c r="F5" i="14"/>
  <c r="F4" i="14"/>
  <c r="F3" i="14"/>
  <c r="G2" i="7"/>
  <c r="H7" i="31" l="1"/>
  <c r="H2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tc={6F562A65-8B20-3D43-A2CF-B5957A720EAB}</author>
  </authors>
  <commentList>
    <comment ref="J3" authorId="0" shapeId="0" xr:uid="{6F562A65-8B20-3D43-A2CF-B5957A720EAB}">
      <text>
        <t>[Comentario encadenado]
Tu versión de Excel te permite leer este comentario encadenado; sin embargo, las ediciones que se apliquen se quitarán si el archivo se abre en una versión más reciente de Excel. Más información: https://go.microsoft.com/fwlink/?linkid=870924
Comentario:
    PARA CADA UNO DE LOS ESTADIOS, HAY UN VECTOR DE COSTOS DETEMRINISTIC (COLUMNA B). PARA EL ANALISIS PROB, PARA CADA ESTADIO, SEGÚN UNA DISTIB GAMMA HABRA LOS PARARAMIETR DE LA DISTIBUCIÓN PARA CADA COSTO. EN COLUMNA D Y E,  SERAN LOS PATÁMETROS DE CADA COSTO EN ESE ESARDIO</t>
      </text>
    </comment>
  </commentList>
</comments>
</file>

<file path=xl/sharedStrings.xml><?xml version="1.0" encoding="utf-8"?>
<sst xmlns="http://schemas.openxmlformats.org/spreadsheetml/2006/main" count="4244" uniqueCount="1235">
  <si>
    <t xml:space="preserve">p.AnGn </t>
  </si>
  <si>
    <t xml:space="preserve"> probability to become Gastritis hp(-) when Atrophy hp(-) </t>
  </si>
  <si>
    <t xml:space="preserve">p.GnNn </t>
  </si>
  <si>
    <t xml:space="preserve"> probability to become Normal hp(-) when Gastritis hp(-) </t>
  </si>
  <si>
    <t xml:space="preserve">p.GnGp </t>
  </si>
  <si>
    <t xml:space="preserve"> probability to become Gastritis hp(+) when Gastritis hp(-)</t>
  </si>
  <si>
    <t xml:space="preserve">p.GpGn </t>
  </si>
  <si>
    <t xml:space="preserve"> probability to become Gastritis hp(-) when Gastritis hp(+)</t>
  </si>
  <si>
    <t xml:space="preserve">p.AnAp </t>
  </si>
  <si>
    <t xml:space="preserve"> probability to become Atrophy hp(+) when Atrophy hp(-)</t>
  </si>
  <si>
    <t xml:space="preserve">p.ApAn </t>
  </si>
  <si>
    <t xml:space="preserve"> probability to become Atrophy hp(-) when Atrophy hp(+)</t>
  </si>
  <si>
    <t xml:space="preserve">p.InIp </t>
  </si>
  <si>
    <t xml:space="preserve"> probability to become Intestinal hp(+) when Intestinal hp(-)</t>
  </si>
  <si>
    <t xml:space="preserve">p.IpIn </t>
  </si>
  <si>
    <t xml:space="preserve"> probability to become Intestinal hp(-) when Intestinal hp(+)</t>
  </si>
  <si>
    <t xml:space="preserve">p.DnDp </t>
  </si>
  <si>
    <t xml:space="preserve"> probability to become Dysplasia hp(+) when Dysplasia hp(-)</t>
  </si>
  <si>
    <t xml:space="preserve">p.DpDn </t>
  </si>
  <si>
    <t xml:space="preserve"> probability to become Dysplasia hp(-) when Dysplasia hp(+)</t>
  </si>
  <si>
    <t xml:space="preserve">p.NpGp </t>
  </si>
  <si>
    <t xml:space="preserve"> probability to become Gastritis hp(+) when Normal hp(+)</t>
  </si>
  <si>
    <t xml:space="preserve">p.NnNp </t>
  </si>
  <si>
    <t xml:space="preserve"> probability to become Normal hp(+) when Normal hp(-)</t>
  </si>
  <si>
    <t xml:space="preserve">p.NpNn </t>
  </si>
  <si>
    <t xml:space="preserve"> probability to become Normal hp(-) when Normal hp(+)</t>
  </si>
  <si>
    <t xml:space="preserve">p.GpAp </t>
  </si>
  <si>
    <t xml:space="preserve">p.ApIp </t>
  </si>
  <si>
    <t xml:space="preserve"> probability to become Intestinal Metaplasia hp (+) when Atrophy hp(+) </t>
  </si>
  <si>
    <t xml:space="preserve">p.IpDp </t>
  </si>
  <si>
    <t xml:space="preserve"> probability to become Dysplasia hp(+) when Intestinal Metaplasia hp(+)  </t>
  </si>
  <si>
    <t xml:space="preserve">p.DpIp </t>
  </si>
  <si>
    <t xml:space="preserve">p.IpAp </t>
  </si>
  <si>
    <t xml:space="preserve"> probability to become Atrophy hp(+) when Intestinal Metaplasia hp (+)   </t>
  </si>
  <si>
    <t xml:space="preserve">p.ApGp </t>
  </si>
  <si>
    <t xml:space="preserve"> probability to become Gastritis hp(+) when Atrophy hp(+)  </t>
  </si>
  <si>
    <t xml:space="preserve">p.GpNp </t>
  </si>
  <si>
    <t xml:space="preserve"> probability to become Normal hp (+) when Gastritis hp(+) </t>
  </si>
  <si>
    <t xml:space="preserve">p.Dn1p </t>
  </si>
  <si>
    <t xml:space="preserve">p.Dp1p </t>
  </si>
  <si>
    <t xml:space="preserve">p.1p1ca </t>
  </si>
  <si>
    <t xml:space="preserve"> probability to become stage 1 clinical a when stage 1 preclinical --&gt; Yeh 2016, probabilidad mensual * 12</t>
  </si>
  <si>
    <t xml:space="preserve">p.1ca1cb </t>
  </si>
  <si>
    <t xml:space="preserve"> probability to become stage 1 clinical b when stage 1 clinical a </t>
  </si>
  <si>
    <t xml:space="preserve">p.1cb1cc </t>
  </si>
  <si>
    <t xml:space="preserve"> probability to become stage 1 clinical c when stage 1 clinical b </t>
  </si>
  <si>
    <t xml:space="preserve">p.1cc1cd </t>
  </si>
  <si>
    <t xml:space="preserve">p.1cd1ce </t>
  </si>
  <si>
    <t xml:space="preserve">p.1ce1cf </t>
  </si>
  <si>
    <t xml:space="preserve">p.1cfNn  </t>
  </si>
  <si>
    <t xml:space="preserve">p.1p2p   </t>
  </si>
  <si>
    <t xml:space="preserve"> probability to become stage 2 preclinical when stage 1 preclinical --&gt; Huang 2020, límite inferior</t>
  </si>
  <si>
    <t xml:space="preserve">p.2p2ca  </t>
  </si>
  <si>
    <t xml:space="preserve"> probability to become stage 2 clinical a when stage 2 preclinical --&gt; Yeh 2016, probabilidad mensual * 12</t>
  </si>
  <si>
    <t xml:space="preserve">p.2ca2cb </t>
  </si>
  <si>
    <t xml:space="preserve"> probability to become stage 2 clinical b when stage 2 clinical a </t>
  </si>
  <si>
    <t xml:space="preserve">p.2cb2cc </t>
  </si>
  <si>
    <t xml:space="preserve"> probability to become stage 2 clinical c when stage 2 clinical b </t>
  </si>
  <si>
    <t xml:space="preserve">p.2cc2cd </t>
  </si>
  <si>
    <t xml:space="preserve"> probability to become stage 3 clinical c when stage 3 clinical b </t>
  </si>
  <si>
    <t xml:space="preserve">p.2cd2ce </t>
  </si>
  <si>
    <t xml:space="preserve">p.2ce2cf </t>
  </si>
  <si>
    <t xml:space="preserve">p.2cfNn  </t>
  </si>
  <si>
    <t xml:space="preserve">p.2p3p   </t>
  </si>
  <si>
    <t xml:space="preserve"> probability to become stage 3 preclinical when stage 2 preclinical --&gt; Huang 2020, límite inferior</t>
  </si>
  <si>
    <t xml:space="preserve">p.3p3ca  </t>
  </si>
  <si>
    <t xml:space="preserve"> probability to become stage 3 clinical a when stage 3 preclinical --&gt; Yeh, 2016 </t>
  </si>
  <si>
    <t xml:space="preserve">p.3ca3cb </t>
  </si>
  <si>
    <t xml:space="preserve"> probability to become stage 3 clinical b when stage 3 clinical a </t>
  </si>
  <si>
    <t xml:space="preserve">p.3cb3cc </t>
  </si>
  <si>
    <t xml:space="preserve">p.3cc3cd </t>
  </si>
  <si>
    <t xml:space="preserve">p.3cd3ce </t>
  </si>
  <si>
    <t xml:space="preserve">p.3ce3cf </t>
  </si>
  <si>
    <t xml:space="preserve">p.3cfNn  </t>
  </si>
  <si>
    <t xml:space="preserve">p.3p4p   </t>
  </si>
  <si>
    <t xml:space="preserve"> probability to become stage 4 preclinical when stage 3 preclinical --&gt; Huang 2020</t>
  </si>
  <si>
    <t xml:space="preserve">p.4p4ca  </t>
  </si>
  <si>
    <t xml:space="preserve"> probability to become stage 4 clinical a when stage 4 preclinical --&gt; Yeh, 2016</t>
  </si>
  <si>
    <t xml:space="preserve">p.4ca4cb </t>
  </si>
  <si>
    <t xml:space="preserve"> probability to become stage 4 clinical b when stage 4 clinical a </t>
  </si>
  <si>
    <t xml:space="preserve">p.4cb4cc </t>
  </si>
  <si>
    <t xml:space="preserve"> probability to become stage 4 clinical c when stage 4 clinical b </t>
  </si>
  <si>
    <t xml:space="preserve">p.4cc4cd </t>
  </si>
  <si>
    <t xml:space="preserve">p.4cd4ce </t>
  </si>
  <si>
    <t xml:space="preserve">p.4ce4cf </t>
  </si>
  <si>
    <t xml:space="preserve">p.4cfNn  </t>
  </si>
  <si>
    <t xml:space="preserve">p.pGpGn </t>
  </si>
  <si>
    <t xml:space="preserve">p.pApAn </t>
  </si>
  <si>
    <t xml:space="preserve">p.pIpIn </t>
  </si>
  <si>
    <t xml:space="preserve">p.pDpDn </t>
  </si>
  <si>
    <t xml:space="preserve">p.pNpNn </t>
  </si>
  <si>
    <t xml:space="preserve">p.p2GpGn </t>
  </si>
  <si>
    <t xml:space="preserve">p.p2ApAn </t>
  </si>
  <si>
    <t xml:space="preserve">p.p2IpIn </t>
  </si>
  <si>
    <t xml:space="preserve">p.p2DpDn </t>
  </si>
  <si>
    <t xml:space="preserve">p.p2NpNn </t>
  </si>
  <si>
    <t xml:space="preserve"> probability to become Normal hp(-) when Normal hp(+) AUMENTA CON LA INTERVENCIÓN</t>
  </si>
  <si>
    <t xml:space="preserve">p.p3GpGn   </t>
  </si>
  <si>
    <t xml:space="preserve">p.p3ApAn   </t>
  </si>
  <si>
    <t xml:space="preserve">p.p3IpIn   </t>
  </si>
  <si>
    <t xml:space="preserve">p.p3DpDn   </t>
  </si>
  <si>
    <t xml:space="preserve">p.p3NpNn   </t>
  </si>
  <si>
    <t xml:space="preserve"> probability to become Normal hp(-) when Normal hp(+) </t>
  </si>
  <si>
    <t xml:space="preserve">p.p3_1p1ca </t>
  </si>
  <si>
    <t xml:space="preserve"> probability to become stage 1 clinical a when stage 1 preclinical </t>
  </si>
  <si>
    <t xml:space="preserve">p.p3_2p2ca </t>
  </si>
  <si>
    <t xml:space="preserve"> probability to become stage 2 clinical a when stage 2 preclinical </t>
  </si>
  <si>
    <t xml:space="preserve">p.p3_3p3ca </t>
  </si>
  <si>
    <t xml:space="preserve"> probability to become stage 3 clinical a when stage 3 preclinical  </t>
  </si>
  <si>
    <t xml:space="preserve">p.p3_4p4ca </t>
  </si>
  <si>
    <t xml:space="preserve"> probability to become stage 4 clinical a when stage 4 preclinical  </t>
  </si>
  <si>
    <t xml:space="preserve">p.p4GpGn   </t>
  </si>
  <si>
    <t xml:space="preserve">p.p4ApAn   </t>
  </si>
  <si>
    <t xml:space="preserve">p.p4IpIn   </t>
  </si>
  <si>
    <t xml:space="preserve">p.p4DpDn   </t>
  </si>
  <si>
    <t xml:space="preserve">p.p4NpNn   </t>
  </si>
  <si>
    <t xml:space="preserve">p.p4_1p1ca </t>
  </si>
  <si>
    <t xml:space="preserve"> probability to become stage 1 clinical a when stage 1 preclinical</t>
  </si>
  <si>
    <t xml:space="preserve">p.p4_2p2ca </t>
  </si>
  <si>
    <t xml:space="preserve"> probability to become stage 2 clinical a when stage 2 preclinical</t>
  </si>
  <si>
    <t xml:space="preserve">p.p4_3p3ca </t>
  </si>
  <si>
    <t xml:space="preserve"> probability to become stage 3 clinical a when stage 3 preclinical</t>
  </si>
  <si>
    <t xml:space="preserve">p.p4_4p4ca </t>
  </si>
  <si>
    <t xml:space="preserve"> probability to become stage 4 clinical a when stage 4 preclinical</t>
  </si>
  <si>
    <t xml:space="preserve">p.p5GpGn </t>
  </si>
  <si>
    <t xml:space="preserve">p.p5ApAn </t>
  </si>
  <si>
    <t xml:space="preserve">p.p5IpIn </t>
  </si>
  <si>
    <t xml:space="preserve">p.p5DpDn </t>
  </si>
  <si>
    <t xml:space="preserve">p.p5NpNn </t>
  </si>
  <si>
    <t xml:space="preserve">p.4cfD30 </t>
  </si>
  <si>
    <t xml:space="preserve">p.4ceD30 </t>
  </si>
  <si>
    <t xml:space="preserve">p.4cdD30 </t>
  </si>
  <si>
    <t xml:space="preserve">p.3cfD30 </t>
  </si>
  <si>
    <t xml:space="preserve">p.3ceD30 </t>
  </si>
  <si>
    <t xml:space="preserve">p.3cdD30 </t>
  </si>
  <si>
    <t xml:space="preserve">p.2cfD30 </t>
  </si>
  <si>
    <t xml:space="preserve">p.2ceD30 </t>
  </si>
  <si>
    <t xml:space="preserve">p.2cdD30 </t>
  </si>
  <si>
    <t xml:space="preserve">p.1cfD30 </t>
  </si>
  <si>
    <t xml:space="preserve">p.1ceD30 </t>
  </si>
  <si>
    <t xml:space="preserve">p.1cdD30 </t>
  </si>
  <si>
    <t xml:space="preserve"> probability to die when stage 4 clinical c</t>
  </si>
  <si>
    <t xml:space="preserve">p.4ccD30 </t>
  </si>
  <si>
    <t xml:space="preserve"> probability to die when stage 3 clinical c</t>
  </si>
  <si>
    <t xml:space="preserve">p.3ccD30 </t>
  </si>
  <si>
    <t xml:space="preserve"> probability to die when stage 2 clinical c</t>
  </si>
  <si>
    <t xml:space="preserve">p.2ccD30 </t>
  </si>
  <si>
    <t xml:space="preserve"> probability to die when stage 1 clinical c</t>
  </si>
  <si>
    <t xml:space="preserve">p.1ccD30 </t>
  </si>
  <si>
    <t xml:space="preserve"> probability to die when stage 4 clinical b</t>
  </si>
  <si>
    <t xml:space="preserve">p.4cbD30 </t>
  </si>
  <si>
    <t xml:space="preserve"> probability to die when stage 3 clinical b</t>
  </si>
  <si>
    <t xml:space="preserve">p.3cbD30 </t>
  </si>
  <si>
    <t xml:space="preserve"> probability to die when stage 2 clinical b</t>
  </si>
  <si>
    <t xml:space="preserve">p.2cbD30 </t>
  </si>
  <si>
    <t xml:space="preserve"> probability to die when stage 1 clinical b </t>
  </si>
  <si>
    <t xml:space="preserve">p.1cbD30 </t>
  </si>
  <si>
    <t xml:space="preserve"> probability to die when stage 4 clinical a</t>
  </si>
  <si>
    <t xml:space="preserve">p.4caD30 </t>
  </si>
  <si>
    <t xml:space="preserve"> probability to die when stage 3 clinical a</t>
  </si>
  <si>
    <t xml:space="preserve">p.3caD30 </t>
  </si>
  <si>
    <t xml:space="preserve"> probability to die when stage 2 clinical a</t>
  </si>
  <si>
    <t xml:space="preserve">p.2caD30 </t>
  </si>
  <si>
    <t xml:space="preserve"> probability to die when stage 1 clinical a</t>
  </si>
  <si>
    <t xml:space="preserve">p.1caD30 </t>
  </si>
  <si>
    <t xml:space="preserve"> probability to die when stage 4 preclinical</t>
  </si>
  <si>
    <t xml:space="preserve">p.4pD30  </t>
  </si>
  <si>
    <t xml:space="preserve"> probability to die when stage 3 preclinical</t>
  </si>
  <si>
    <t xml:space="preserve">p.3pD30  </t>
  </si>
  <si>
    <t xml:space="preserve"> probability to die when stage 2 preclinical</t>
  </si>
  <si>
    <t xml:space="preserve">p.2pD30  </t>
  </si>
  <si>
    <t xml:space="preserve"> probability to die when stage 1 preclinical </t>
  </si>
  <si>
    <t xml:space="preserve">p.1pD30  </t>
  </si>
  <si>
    <t xml:space="preserve"> probability to die when Dysplasia helicobacter (+) </t>
  </si>
  <si>
    <t xml:space="preserve">p.DpD30  </t>
  </si>
  <si>
    <t xml:space="preserve"> probability to die when Dysplasia helicobacter (-) </t>
  </si>
  <si>
    <t xml:space="preserve">p.DnD30  </t>
  </si>
  <si>
    <t xml:space="preserve"> probability to die when Intestinal helicobacter (+) </t>
  </si>
  <si>
    <t xml:space="preserve">p.IpD30  </t>
  </si>
  <si>
    <t xml:space="preserve"> probability to die when Intestinal helicobacter (-) </t>
  </si>
  <si>
    <t xml:space="preserve">p.InD30  </t>
  </si>
  <si>
    <t xml:space="preserve"> probability to die when Atrophy helicobacter (+)</t>
  </si>
  <si>
    <t xml:space="preserve">p.ApD30  </t>
  </si>
  <si>
    <t xml:space="preserve"> probability to die when Atrophy helicobacter (-)</t>
  </si>
  <si>
    <t xml:space="preserve">p.AnD30  </t>
  </si>
  <si>
    <t xml:space="preserve"> probability to die when Gastritis helicobacter (+)</t>
  </si>
  <si>
    <t xml:space="preserve">p.GpD30  </t>
  </si>
  <si>
    <t xml:space="preserve"> probability to die when Gastritis helicobacter (-)</t>
  </si>
  <si>
    <t xml:space="preserve">p.GnD30  </t>
  </si>
  <si>
    <t xml:space="preserve"> probability to die when Normal helicobacter (+)</t>
  </si>
  <si>
    <t xml:space="preserve">p.NpD30  </t>
  </si>
  <si>
    <t xml:space="preserve"> probability to die when healthy at 30 </t>
  </si>
  <si>
    <t xml:space="preserve">p.NnD30  </t>
  </si>
  <si>
    <t xml:space="preserve">p.4cfD45 </t>
  </si>
  <si>
    <t xml:space="preserve">p.4ceD45 </t>
  </si>
  <si>
    <t xml:space="preserve">p.4cdD45 </t>
  </si>
  <si>
    <t xml:space="preserve">p.3cfD45 </t>
  </si>
  <si>
    <t xml:space="preserve">p.3ceD45 </t>
  </si>
  <si>
    <t xml:space="preserve">p.3cdD45 </t>
  </si>
  <si>
    <t xml:space="preserve">p.2cfD45 </t>
  </si>
  <si>
    <t xml:space="preserve">p.2ceD45 </t>
  </si>
  <si>
    <t xml:space="preserve">p.2cdD45 </t>
  </si>
  <si>
    <t xml:space="preserve">p.1cfD45 </t>
  </si>
  <si>
    <t xml:space="preserve">p.1ceD45 </t>
  </si>
  <si>
    <t xml:space="preserve">p.1cdD45 </t>
  </si>
  <si>
    <t xml:space="preserve">p.4ccD45 </t>
  </si>
  <si>
    <t xml:space="preserve">p.3ccD45 </t>
  </si>
  <si>
    <t xml:space="preserve">p.2ccD45 </t>
  </si>
  <si>
    <t xml:space="preserve">p.1ccD45 </t>
  </si>
  <si>
    <t xml:space="preserve">p.4cbD45 </t>
  </si>
  <si>
    <t xml:space="preserve">p.3cbD45 </t>
  </si>
  <si>
    <t xml:space="preserve">p.2cbD45 </t>
  </si>
  <si>
    <t xml:space="preserve">p.1cbD45 </t>
  </si>
  <si>
    <t xml:space="preserve">p.4caD45 </t>
  </si>
  <si>
    <t xml:space="preserve">p.3caD45 </t>
  </si>
  <si>
    <t xml:space="preserve">p.2caD45 </t>
  </si>
  <si>
    <t xml:space="preserve">p.1caD45 </t>
  </si>
  <si>
    <t xml:space="preserve">p.4pD45  </t>
  </si>
  <si>
    <t xml:space="preserve">p.3pD45  </t>
  </si>
  <si>
    <t xml:space="preserve">p.2pD45  </t>
  </si>
  <si>
    <t xml:space="preserve">p.1pD45  </t>
  </si>
  <si>
    <t xml:space="preserve">p.DpD45  </t>
  </si>
  <si>
    <t xml:space="preserve">p.DnD45  </t>
  </si>
  <si>
    <t xml:space="preserve">p.IpD45  </t>
  </si>
  <si>
    <t xml:space="preserve">p.InD45  </t>
  </si>
  <si>
    <t xml:space="preserve">p.ApD45  </t>
  </si>
  <si>
    <t xml:space="preserve">p.AnD45  </t>
  </si>
  <si>
    <t xml:space="preserve">p.GpD45  </t>
  </si>
  <si>
    <t xml:space="preserve">p.GnD45  </t>
  </si>
  <si>
    <t xml:space="preserve">p.NpD45  </t>
  </si>
  <si>
    <t xml:space="preserve">p.NnD45  </t>
  </si>
  <si>
    <t xml:space="preserve">c.Nn  </t>
  </si>
  <si>
    <t xml:space="preserve"> cost of remaining one cycle Normal helicobacter (-)</t>
  </si>
  <si>
    <t xml:space="preserve">c.Np  </t>
  </si>
  <si>
    <t xml:space="preserve"> cost of remaining one cycle Normal helicobacter (+)</t>
  </si>
  <si>
    <t xml:space="preserve">c.Gn  </t>
  </si>
  <si>
    <t xml:space="preserve"> cost of remaining one cycle Gastritis helicobacter (-)</t>
  </si>
  <si>
    <t xml:space="preserve">c.Gp  </t>
  </si>
  <si>
    <t xml:space="preserve"> cost of remaining one cycle Gastritis helicobacter (+)</t>
  </si>
  <si>
    <t xml:space="preserve">c.An  </t>
  </si>
  <si>
    <t xml:space="preserve"> cost of remaining one cycle Atrophy helicobacter (-)</t>
  </si>
  <si>
    <t xml:space="preserve">c.Ap  </t>
  </si>
  <si>
    <t xml:space="preserve"> cost of remaining one cycle Atrophy helicobacter (+)</t>
  </si>
  <si>
    <t xml:space="preserve">c.In  </t>
  </si>
  <si>
    <t xml:space="preserve"> cost of remaining one cycle Intestinal helicobacter (-) </t>
  </si>
  <si>
    <t xml:space="preserve">c.Ip  </t>
  </si>
  <si>
    <t xml:space="preserve"> cost of remaining one cycle Intestinal helicobacter (+) </t>
  </si>
  <si>
    <t xml:space="preserve">c.Dn  </t>
  </si>
  <si>
    <t xml:space="preserve"> cost of remaining one cycle Dysplasia helicobacter (-) </t>
  </si>
  <si>
    <t xml:space="preserve">c.Dp  </t>
  </si>
  <si>
    <t xml:space="preserve"> cost of remaining one cycle Dysplasia helicobacter (+)</t>
  </si>
  <si>
    <t xml:space="preserve">c.1p  </t>
  </si>
  <si>
    <t xml:space="preserve"> cost of remaining one cycle stage 1 preclinical</t>
  </si>
  <si>
    <t xml:space="preserve">c.2p  </t>
  </si>
  <si>
    <t xml:space="preserve"> cost of remaining one cycle stage 2 preclinical</t>
  </si>
  <si>
    <t xml:space="preserve">c.3p  </t>
  </si>
  <si>
    <t xml:space="preserve"> cost of remaining one cycle stage 3 preclinical</t>
  </si>
  <si>
    <t xml:space="preserve">c.4p  </t>
  </si>
  <si>
    <t xml:space="preserve"> cost of remaining one cycle stage 4 preclinical</t>
  </si>
  <si>
    <t xml:space="preserve">c.1ca  </t>
  </si>
  <si>
    <t xml:space="preserve"> cost of remaining one cycle stage 1 clinical a (treatment)</t>
  </si>
  <si>
    <t xml:space="preserve">c.2ca  </t>
  </si>
  <si>
    <t xml:space="preserve"> cost of remaining one cycle stage 2 clinical a (treatment)</t>
  </si>
  <si>
    <t xml:space="preserve">c.3ca  </t>
  </si>
  <si>
    <t xml:space="preserve"> cost of remaining one cycle stage 3 clinical a (treatment)</t>
  </si>
  <si>
    <t xml:space="preserve">c.4ca  </t>
  </si>
  <si>
    <t xml:space="preserve"> cost of remaining one cycle stage 4 clinical a (treatment)</t>
  </si>
  <si>
    <t xml:space="preserve">c.1cb  </t>
  </si>
  <si>
    <t xml:space="preserve"> cost of remaining one cycle stage 1 clinical b (treatment)</t>
  </si>
  <si>
    <t xml:space="preserve">c.2cb  </t>
  </si>
  <si>
    <t xml:space="preserve"> cost of remaining one cycle stage 2 clinical b (treatment)</t>
  </si>
  <si>
    <t xml:space="preserve">c.3cb  </t>
  </si>
  <si>
    <t xml:space="preserve"> cost of remaining one cycle stage 3 clinical b (treatment)</t>
  </si>
  <si>
    <t xml:space="preserve">c.4cb  </t>
  </si>
  <si>
    <t xml:space="preserve"> cost of remaining one cycle stage 4 clinical b (treatment)</t>
  </si>
  <si>
    <t xml:space="preserve">c.1cc  </t>
  </si>
  <si>
    <t xml:space="preserve"> cost of remaining one cycle stage 1 clinical c (treatment)</t>
  </si>
  <si>
    <t xml:space="preserve">c.2cc  </t>
  </si>
  <si>
    <t xml:space="preserve"> cost of remaining one cycle stage 2 clinical c (treatment)</t>
  </si>
  <si>
    <t xml:space="preserve">c.3cc  </t>
  </si>
  <si>
    <t xml:space="preserve"> cost of remaining one cycle stage 3 clinical c (treatment)</t>
  </si>
  <si>
    <t xml:space="preserve">c.4cc  </t>
  </si>
  <si>
    <t xml:space="preserve">c.1cd  </t>
  </si>
  <si>
    <t xml:space="preserve">c.2cd  </t>
  </si>
  <si>
    <t xml:space="preserve">c.3cd  </t>
  </si>
  <si>
    <t xml:space="preserve">c.4cd  </t>
  </si>
  <si>
    <t xml:space="preserve">c.1ce  </t>
  </si>
  <si>
    <t xml:space="preserve">c.2ce  </t>
  </si>
  <si>
    <t xml:space="preserve">c.3ce  </t>
  </si>
  <si>
    <t xml:space="preserve">c.4ce  </t>
  </si>
  <si>
    <t xml:space="preserve">c.1cf  </t>
  </si>
  <si>
    <t xml:space="preserve">c.2cf  </t>
  </si>
  <si>
    <t xml:space="preserve">c.3cf  </t>
  </si>
  <si>
    <t xml:space="preserve">c.4cf  </t>
  </si>
  <si>
    <t xml:space="preserve">c.D  </t>
  </si>
  <si>
    <t xml:space="preserve"> cost of remaining one cycle dead</t>
  </si>
  <si>
    <t xml:space="preserve">c.UreaAire      </t>
  </si>
  <si>
    <t xml:space="preserve"> Costeo  </t>
  </si>
  <si>
    <t xml:space="preserve">c.EDABp         </t>
  </si>
  <si>
    <t xml:space="preserve"> Costeo </t>
  </si>
  <si>
    <t xml:space="preserve">c.Antigenofecal </t>
  </si>
  <si>
    <t xml:space="preserve">c.Serología     </t>
  </si>
  <si>
    <t xml:space="preserve">c.errp.1 </t>
  </si>
  <si>
    <t xml:space="preserve"> Costeo erradicación para estados positivos estrategia 1 </t>
  </si>
  <si>
    <t xml:space="preserve">c.errp.2 </t>
  </si>
  <si>
    <t xml:space="preserve"> Costeo erradicación para estados positivos estrategia 2</t>
  </si>
  <si>
    <t xml:space="preserve">c.errp.3 </t>
  </si>
  <si>
    <t xml:space="preserve"> Costeo erradicación para estados positivos estrategia 3</t>
  </si>
  <si>
    <t xml:space="preserve">c.errp.4 </t>
  </si>
  <si>
    <t xml:space="preserve">c.errp.5 </t>
  </si>
  <si>
    <t xml:space="preserve"> Costeo erradicación para estados positivos estrategia 5 </t>
  </si>
  <si>
    <t xml:space="preserve">c.errn.1 </t>
  </si>
  <si>
    <t xml:space="preserve"> Costeo erradicación para estados negativos estrategia 1 </t>
  </si>
  <si>
    <t xml:space="preserve">c.errn.2 </t>
  </si>
  <si>
    <t xml:space="preserve"> Costeo erradicación para estados negativos estrategia 2 </t>
  </si>
  <si>
    <t xml:space="preserve">c.errn.5 </t>
  </si>
  <si>
    <t xml:space="preserve"> Costeo erradicación para estados negativos estrategia 5 </t>
  </si>
  <si>
    <t xml:space="preserve">u.Nn  </t>
  </si>
  <si>
    <t xml:space="preserve"> utility when Normal helicobacter (-)</t>
  </si>
  <si>
    <t xml:space="preserve">u.Np  </t>
  </si>
  <si>
    <t xml:space="preserve"> utility when Normal helicobacter (+)</t>
  </si>
  <si>
    <t xml:space="preserve">u.Gn  </t>
  </si>
  <si>
    <t xml:space="preserve"> utility when Gastritis helicobacter (-)</t>
  </si>
  <si>
    <t xml:space="preserve">u.Gp  </t>
  </si>
  <si>
    <t xml:space="preserve"> utility when Gastritis helicobacter (+)</t>
  </si>
  <si>
    <t xml:space="preserve">u.An  </t>
  </si>
  <si>
    <t xml:space="preserve"> utility when Atrophy helicobacter (-)</t>
  </si>
  <si>
    <t xml:space="preserve">u.Ap  </t>
  </si>
  <si>
    <t xml:space="preserve"> utility when Atrophy helicobacter (+)</t>
  </si>
  <si>
    <t xml:space="preserve">u.In  </t>
  </si>
  <si>
    <t xml:space="preserve"> utility when Intestinal helicobacter (-)</t>
  </si>
  <si>
    <t xml:space="preserve">u.Ip  </t>
  </si>
  <si>
    <t xml:space="preserve"> utility when Intestinal helicobacter (+)</t>
  </si>
  <si>
    <t xml:space="preserve">u.Dn  </t>
  </si>
  <si>
    <t xml:space="preserve"> utility when Dysplasia helicobacter (-)</t>
  </si>
  <si>
    <t xml:space="preserve">u.Dp  </t>
  </si>
  <si>
    <t xml:space="preserve"> utility when Dysplasia helicobacter (+) </t>
  </si>
  <si>
    <t xml:space="preserve">u.1p  </t>
  </si>
  <si>
    <t xml:space="preserve"> utility when stage 1 preclinical</t>
  </si>
  <si>
    <t xml:space="preserve">u.2p  </t>
  </si>
  <si>
    <t xml:space="preserve"> utility when stage 2 preclinical</t>
  </si>
  <si>
    <t xml:space="preserve">u.3p  </t>
  </si>
  <si>
    <t xml:space="preserve"> utility when stage 3 preclinical</t>
  </si>
  <si>
    <t xml:space="preserve">u.4p  </t>
  </si>
  <si>
    <t xml:space="preserve"> utility when stage 4 preclinical</t>
  </si>
  <si>
    <t xml:space="preserve">u.1ca  </t>
  </si>
  <si>
    <t xml:space="preserve"> utility when stage 1 clinical a</t>
  </si>
  <si>
    <t xml:space="preserve">u.2ca  </t>
  </si>
  <si>
    <t xml:space="preserve"> utility when stage 2 clinical a</t>
  </si>
  <si>
    <t xml:space="preserve">u.3ca  </t>
  </si>
  <si>
    <t xml:space="preserve"> utility when stage 3 clinical a</t>
  </si>
  <si>
    <t xml:space="preserve">u.4ca  </t>
  </si>
  <si>
    <t xml:space="preserve"> utility when stage 4 clinical a</t>
  </si>
  <si>
    <t xml:space="preserve">u.1cb  </t>
  </si>
  <si>
    <t xml:space="preserve"> utility when stage 1 clinical b</t>
  </si>
  <si>
    <t xml:space="preserve">u.2cb  </t>
  </si>
  <si>
    <t xml:space="preserve"> utility when stage 2 clinical b</t>
  </si>
  <si>
    <t xml:space="preserve">u.3cb  </t>
  </si>
  <si>
    <t xml:space="preserve"> utility when stage 3 clinical b</t>
  </si>
  <si>
    <t xml:space="preserve">u.4cb  </t>
  </si>
  <si>
    <t xml:space="preserve"> utility when stage 4 clinical b</t>
  </si>
  <si>
    <t xml:space="preserve">u.1cc  </t>
  </si>
  <si>
    <t xml:space="preserve"> utility when stage 1 clinical c</t>
  </si>
  <si>
    <t xml:space="preserve">u.2cc  </t>
  </si>
  <si>
    <t xml:space="preserve"> utility when stage 2 clinical c</t>
  </si>
  <si>
    <t xml:space="preserve">u.3cc  </t>
  </si>
  <si>
    <t xml:space="preserve"> utility when stage 3 clinical c</t>
  </si>
  <si>
    <t xml:space="preserve">u.4cc  </t>
  </si>
  <si>
    <t xml:space="preserve"> utility when stage 4 clinical c</t>
  </si>
  <si>
    <t xml:space="preserve">u.1cd  </t>
  </si>
  <si>
    <t xml:space="preserve">u.2cd  </t>
  </si>
  <si>
    <t xml:space="preserve">u.3cd  </t>
  </si>
  <si>
    <t xml:space="preserve">u.4cd  </t>
  </si>
  <si>
    <t xml:space="preserve">u.1ce  </t>
  </si>
  <si>
    <t xml:space="preserve">u.2ce  </t>
  </si>
  <si>
    <t xml:space="preserve">u.3ce  </t>
  </si>
  <si>
    <t xml:space="preserve">u.4ce  </t>
  </si>
  <si>
    <t xml:space="preserve">u.1cf  </t>
  </si>
  <si>
    <t xml:space="preserve">u.2cf  </t>
  </si>
  <si>
    <t xml:space="preserve">u.3cf  </t>
  </si>
  <si>
    <t xml:space="preserve">u.4cf  </t>
  </si>
  <si>
    <t xml:space="preserve">u.D  </t>
  </si>
  <si>
    <t xml:space="preserve"> utility when dead</t>
  </si>
  <si>
    <t>a.S0</t>
  </si>
  <si>
    <t>a.S1</t>
  </si>
  <si>
    <t>a.S2</t>
  </si>
  <si>
    <t>a.S3</t>
  </si>
  <si>
    <t>a.S4</t>
  </si>
  <si>
    <t>a.S5</t>
  </si>
  <si>
    <t>probability accceptance standard care</t>
  </si>
  <si>
    <t>probability acceptance strategy 1 (UreaAire)</t>
  </si>
  <si>
    <t>probability acceptance strategy 2 (AntigenoFecal)</t>
  </si>
  <si>
    <t>probability acceptance strategy 3 (EDA)</t>
  </si>
  <si>
    <t>probability acceptance strategy 4 (PSEDA)</t>
  </si>
  <si>
    <t>probability acceptance strategy 5 (Serologia)</t>
  </si>
  <si>
    <t xml:space="preserve">p.NnD40  </t>
  </si>
  <si>
    <t xml:space="preserve">p.NpD40  </t>
  </si>
  <si>
    <t xml:space="preserve">p.GnD40  </t>
  </si>
  <si>
    <t xml:space="preserve">p.GpD40  </t>
  </si>
  <si>
    <t xml:space="preserve">p.AnD40  </t>
  </si>
  <si>
    <t xml:space="preserve">p.ApD40  </t>
  </si>
  <si>
    <t xml:space="preserve">p.InD40  </t>
  </si>
  <si>
    <t xml:space="preserve">p.IpD40  </t>
  </si>
  <si>
    <t xml:space="preserve">p.DnD40  </t>
  </si>
  <si>
    <t xml:space="preserve">p.DpD40  </t>
  </si>
  <si>
    <t xml:space="preserve">p.1pD40  </t>
  </si>
  <si>
    <t xml:space="preserve">p.2pD40  </t>
  </si>
  <si>
    <t xml:space="preserve">p.3pD40  </t>
  </si>
  <si>
    <t xml:space="preserve">p.4pD40  </t>
  </si>
  <si>
    <t xml:space="preserve">p.1caD40 </t>
  </si>
  <si>
    <t xml:space="preserve">p.2caD40 </t>
  </si>
  <si>
    <t xml:space="preserve">p.3caD40 </t>
  </si>
  <si>
    <t xml:space="preserve">p.4caD40 </t>
  </si>
  <si>
    <t xml:space="preserve">p.1cbD40 </t>
  </si>
  <si>
    <t xml:space="preserve">p.2cbD40 </t>
  </si>
  <si>
    <t xml:space="preserve">p.3cbD40 </t>
  </si>
  <si>
    <t xml:space="preserve">p.4cbD40 </t>
  </si>
  <si>
    <t xml:space="preserve">p.1ccD40 </t>
  </si>
  <si>
    <t xml:space="preserve">p.2ccD40 </t>
  </si>
  <si>
    <t xml:space="preserve">p.3ccD40 </t>
  </si>
  <si>
    <t xml:space="preserve">p.4ccD40 </t>
  </si>
  <si>
    <t xml:space="preserve">p.1cdD40 </t>
  </si>
  <si>
    <t xml:space="preserve">p.1ceD40 </t>
  </si>
  <si>
    <t xml:space="preserve">p.1cfD40 </t>
  </si>
  <si>
    <t xml:space="preserve">p.2cdD40 </t>
  </si>
  <si>
    <t xml:space="preserve">p.2ceD40 </t>
  </si>
  <si>
    <t xml:space="preserve">p.2cfD40 </t>
  </si>
  <si>
    <t xml:space="preserve">p.3cdD40 </t>
  </si>
  <si>
    <t xml:space="preserve">p.3ceD40 </t>
  </si>
  <si>
    <t xml:space="preserve">p.3cfD40 </t>
  </si>
  <si>
    <t xml:space="preserve">p.4cdD40 </t>
  </si>
  <si>
    <t xml:space="preserve">p.4ceD40 </t>
  </si>
  <si>
    <t xml:space="preserve">p.4cfD40 </t>
  </si>
  <si>
    <t>0.1294494367</t>
  </si>
  <si>
    <t>0.04364750021</t>
  </si>
  <si>
    <t>0.01</t>
  </si>
  <si>
    <t>0.01440931621</t>
  </si>
  <si>
    <t>0.02085163764</t>
  </si>
  <si>
    <t>0.1229316</t>
  </si>
  <si>
    <t>0.3872902427</t>
  </si>
  <si>
    <t>0.2</t>
  </si>
  <si>
    <t>0.3934693</t>
  </si>
  <si>
    <t>0.9688267694</t>
  </si>
  <si>
    <t>0.938</t>
  </si>
  <si>
    <t>0.9204</t>
  </si>
  <si>
    <t>0.99</t>
  </si>
  <si>
    <t xml:space="preserve"> 0.01*0.95   </t>
  </si>
  <si>
    <t xml:space="preserve"> 0.06*0.95   </t>
  </si>
  <si>
    <t xml:space="preserve"> 0.07*0.95   </t>
  </si>
  <si>
    <t>0.7</t>
  </si>
  <si>
    <t>0.9468</t>
  </si>
  <si>
    <t>0.0007297762825</t>
  </si>
  <si>
    <t xml:space="preserve"> 0.012214253 + 0.0007297762825   </t>
  </si>
  <si>
    <t xml:space="preserve"> 0.08030691 + 0.0007297762825    </t>
  </si>
  <si>
    <t xml:space="preserve"> 0.174171454 + 0.0007297762825   </t>
  </si>
  <si>
    <t xml:space="preserve"> 0.228382927 + 0.0007297762825   </t>
  </si>
  <si>
    <t xml:space="preserve"> 0.004444335 + 0.0007297762825   </t>
  </si>
  <si>
    <t xml:space="preserve"> 0.114891303 + 0.0007297762825   </t>
  </si>
  <si>
    <t xml:space="preserve"> 0.258072382 + 0.0007297762825   </t>
  </si>
  <si>
    <t xml:space="preserve"> 0.652838594 + 0.0007297762825   </t>
  </si>
  <si>
    <t xml:space="preserve"> 0.003510454 + 0.0007297762825   </t>
  </si>
  <si>
    <t xml:space="preserve"> 0.091858077 + 0.0007297762825   </t>
  </si>
  <si>
    <t xml:space="preserve"> 0.209957968 + 0.0007297762825   </t>
  </si>
  <si>
    <t xml:space="preserve"> 0.566240775 + 0.0007297762825   </t>
  </si>
  <si>
    <t xml:space="preserve"> 0.002796383 + 0.0007297762825</t>
  </si>
  <si>
    <t xml:space="preserve"> 0.002018909 + 0.0007297762825</t>
  </si>
  <si>
    <t xml:space="preserve"> 0.006118674 + 0.0007297762825</t>
  </si>
  <si>
    <t xml:space="preserve"> 0.073857548 + 0.0007297762825</t>
  </si>
  <si>
    <t xml:space="preserve"> 0.053868251 + 0.0007297762825</t>
  </si>
  <si>
    <t xml:space="preserve"> 0.040946243 + 0.0007297762825</t>
  </si>
  <si>
    <t xml:space="preserve"> 0.171106376 + 0.0007297762825</t>
  </si>
  <si>
    <t xml:space="preserve"> 0.126664317 + 0.0007297762825</t>
  </si>
  <si>
    <t xml:space="preserve"> 0.091146106 + 0.0007297762825</t>
  </si>
  <si>
    <t xml:space="preserve"> 0.566240775 + 0.0007297762825</t>
  </si>
  <si>
    <t>0.001915352</t>
  </si>
  <si>
    <t xml:space="preserve"> 0.002686375 + 0.001915352    </t>
  </si>
  <si>
    <t xml:space="preserve"> 0.071054215 + 0.001915352    </t>
  </si>
  <si>
    <t xml:space="preserve"> 0.164956367 + 0.001915352    </t>
  </si>
  <si>
    <t xml:space="preserve"> 0.472139366 + 0.001915352    </t>
  </si>
  <si>
    <t xml:space="preserve"> 0.004444335 + 0.001915352    </t>
  </si>
  <si>
    <t xml:space="preserve"> 0.114891303 + 0.001915352    </t>
  </si>
  <si>
    <t xml:space="preserve"> 0.258072382 + 0.001915352    </t>
  </si>
  <si>
    <t xml:space="preserve"> 0.652838594 + 0.001915352    </t>
  </si>
  <si>
    <t xml:space="preserve"> 0.003510454 + 0.001915352    </t>
  </si>
  <si>
    <t xml:space="preserve"> 0.091858077 + 0.001915352    </t>
  </si>
  <si>
    <t xml:space="preserve"> 0.209957968 + 0.001915352    </t>
  </si>
  <si>
    <t xml:space="preserve"> 0.566240775 + 0.001915352    </t>
  </si>
  <si>
    <t xml:space="preserve"> 0.002796383 + 0.001915352 </t>
  </si>
  <si>
    <t xml:space="preserve"> 0.002018909 + 0.001915352 </t>
  </si>
  <si>
    <t xml:space="preserve"> 0.006118674 + 0.001915352 </t>
  </si>
  <si>
    <t xml:space="preserve"> 0.073857548 + 0.001915352 </t>
  </si>
  <si>
    <t xml:space="preserve"> 0.053868251 + 0.001915352 </t>
  </si>
  <si>
    <t xml:space="preserve"> 0.040946243 + 0.001915352 </t>
  </si>
  <si>
    <t xml:space="preserve"> 0.171106376 + 0.001915352 </t>
  </si>
  <si>
    <t xml:space="preserve"> 0.126664317 + 0.001915352 </t>
  </si>
  <si>
    <t xml:space="preserve"> 0.091146106 + 0.001915352 </t>
  </si>
  <si>
    <t xml:space="preserve"> 0.566240775 + 0.001915352 </t>
  </si>
  <si>
    <t>0.001259204</t>
  </si>
  <si>
    <t xml:space="preserve"> 0.002686375 + 0.001259204   </t>
  </si>
  <si>
    <t xml:space="preserve"> 0.071054215 + 0.001259204   </t>
  </si>
  <si>
    <t xml:space="preserve"> 0.164956367 + 0.001259204   </t>
  </si>
  <si>
    <t xml:space="preserve"> 0.472139366 + 0.001259204   </t>
  </si>
  <si>
    <t xml:space="preserve"> 0.004444335 + 0.001259204   </t>
  </si>
  <si>
    <t xml:space="preserve"> 0.114891303 + 0.001259204   </t>
  </si>
  <si>
    <t xml:space="preserve"> 0.258072382 + 0.001259204   </t>
  </si>
  <si>
    <t xml:space="preserve"> 0.652838594 + 0.001259204   </t>
  </si>
  <si>
    <t xml:space="preserve"> 0.003510454 + 0.001259204   </t>
  </si>
  <si>
    <t xml:space="preserve"> 0.091858077 + 0.001259204   </t>
  </si>
  <si>
    <t xml:space="preserve"> 0.209957968 + 0.001259204   </t>
  </si>
  <si>
    <t xml:space="preserve"> 0.566240775 + 0.001259204   </t>
  </si>
  <si>
    <t xml:space="preserve"> 0.002796383 + 0.001259204 </t>
  </si>
  <si>
    <t xml:space="preserve"> 0.002018909 + 0.001259204 </t>
  </si>
  <si>
    <t xml:space="preserve"> 0.006118674 + 0.001259204 </t>
  </si>
  <si>
    <t xml:space="preserve"> 0.073857548 + 0.001259204 </t>
  </si>
  <si>
    <t xml:space="preserve"> 0.053868251 + 0.001259204 </t>
  </si>
  <si>
    <t xml:space="preserve"> 0.040946243 + 0.001259204 </t>
  </si>
  <si>
    <t xml:space="preserve"> 0.171106376 + 0.001259204 </t>
  </si>
  <si>
    <t xml:space="preserve"> 0.126664317 + 0.001259204 </t>
  </si>
  <si>
    <t xml:space="preserve"> 0.091146106 + 0.001259204 </t>
  </si>
  <si>
    <t xml:space="preserve"> 0.566240775 + 0.001259204 </t>
  </si>
  <si>
    <t>0.2812988</t>
  </si>
  <si>
    <t>0.27537672</t>
  </si>
  <si>
    <t>0.01706795866</t>
  </si>
  <si>
    <t>0.2643616512</t>
  </si>
  <si>
    <t>0.0148052</t>
  </si>
  <si>
    <t>0.0736374</t>
  </si>
  <si>
    <t>0.067559328</t>
  </si>
  <si>
    <t>0.95</t>
  </si>
  <si>
    <t>0.807</t>
  </si>
  <si>
    <t>0.7238</t>
  </si>
  <si>
    <t>0.6477</t>
  </si>
  <si>
    <t>0.5345</t>
  </si>
  <si>
    <t xml:space="preserve">p.NnGn </t>
  </si>
  <si>
    <t xml:space="preserve"> probability to become Gastritis hp(-) when Normal hp(-) </t>
  </si>
  <si>
    <t xml:space="preserve">p.GnAn </t>
  </si>
  <si>
    <t xml:space="preserve"> 0.001002006021      </t>
  </si>
  <si>
    <t xml:space="preserve"> probability to become Atrophy hp(-) when Gastritis hp(-) </t>
  </si>
  <si>
    <t xml:space="preserve">p.AnIn </t>
  </si>
  <si>
    <t xml:space="preserve"> probability to become Intestinal Metaplasia hp (-) when Atrophy hp(-) </t>
  </si>
  <si>
    <t xml:space="preserve">p.InDn </t>
  </si>
  <si>
    <t xml:space="preserve"> probability to become Dysplasia hp(-) when Intestinal Metaplasia hp(-)</t>
  </si>
  <si>
    <t xml:space="preserve">p.DnIn </t>
  </si>
  <si>
    <t xml:space="preserve"> probability to become Intestinal hp(-) when Dysplasia hp(-)</t>
  </si>
  <si>
    <t xml:space="preserve">p.InAn </t>
  </si>
  <si>
    <t xml:space="preserve"> 0.06885008491       </t>
  </si>
  <si>
    <t xml:space="preserve"> probability to become Atrophy hp(-) when Intestinal Metaplasia hp (-) </t>
  </si>
  <si>
    <t>age</t>
  </si>
  <si>
    <t>max.age</t>
  </si>
  <si>
    <t xml:space="preserve">maximum age of follow up </t>
  </si>
  <si>
    <t>size of each cycle</t>
  </si>
  <si>
    <t>strategy name</t>
  </si>
  <si>
    <t>No prevention</t>
  </si>
  <si>
    <t>UreaAire</t>
  </si>
  <si>
    <t>Antígenofecal</t>
  </si>
  <si>
    <t>EDA</t>
  </si>
  <si>
    <t>PSEDA</t>
  </si>
  <si>
    <t>Serología</t>
  </si>
  <si>
    <t>description</t>
  </si>
  <si>
    <t>state name</t>
  </si>
  <si>
    <t>Normalhpn</t>
  </si>
  <si>
    <t>Normalhpp</t>
  </si>
  <si>
    <t>Gastritishpn</t>
  </si>
  <si>
    <t>Gastritishpp</t>
  </si>
  <si>
    <t>Atrophyhpn</t>
  </si>
  <si>
    <t>Atrophyhpp</t>
  </si>
  <si>
    <t>Intestinalhpn</t>
  </si>
  <si>
    <t>Intestinalhpp</t>
  </si>
  <si>
    <t>Dysplasiahpn</t>
  </si>
  <si>
    <t>Dysplasiahpp</t>
  </si>
  <si>
    <t>1preclinical</t>
  </si>
  <si>
    <t>2preclinical</t>
  </si>
  <si>
    <t>3preclinical</t>
  </si>
  <si>
    <t>4preclinical</t>
  </si>
  <si>
    <t>1clinicala</t>
  </si>
  <si>
    <t>1clinicalb</t>
  </si>
  <si>
    <t>1clinicalc</t>
  </si>
  <si>
    <t>1clinicald</t>
  </si>
  <si>
    <t>1clinicale</t>
  </si>
  <si>
    <t>1clinicalf</t>
  </si>
  <si>
    <t>2clinicala</t>
  </si>
  <si>
    <t>2clinicalb</t>
  </si>
  <si>
    <t>2clinicalc</t>
  </si>
  <si>
    <t>2clinicald</t>
  </si>
  <si>
    <t>2clinicale</t>
  </si>
  <si>
    <t>2clinicalf</t>
  </si>
  <si>
    <t>3clinicala</t>
  </si>
  <si>
    <t>3clinicalb</t>
  </si>
  <si>
    <t>3clinicalc</t>
  </si>
  <si>
    <t>3clinicald</t>
  </si>
  <si>
    <t>3clinicale</t>
  </si>
  <si>
    <t>3clinicalf</t>
  </si>
  <si>
    <t>4clinicala</t>
  </si>
  <si>
    <t>4clinicalb</t>
  </si>
  <si>
    <t>4clinicalc</t>
  </si>
  <si>
    <t>4clinicald</t>
  </si>
  <si>
    <t>4clinicale</t>
  </si>
  <si>
    <t>4clinicalf</t>
  </si>
  <si>
    <t>Dead</t>
  </si>
  <si>
    <t>beta</t>
  </si>
  <si>
    <t>distribution</t>
  </si>
  <si>
    <t>revisar este comentario</t>
  </si>
  <si>
    <t>gamma</t>
  </si>
  <si>
    <t>gama</t>
  </si>
  <si>
    <t>name</t>
  </si>
  <si>
    <t>cycle_length</t>
  </si>
  <si>
    <t>param1</t>
  </si>
  <si>
    <t>param2</t>
  </si>
  <si>
    <t>n_sim</t>
  </si>
  <si>
    <t>number of simulations for PSA</t>
  </si>
  <si>
    <t>R</t>
  </si>
  <si>
    <t>0.0095</t>
  </si>
  <si>
    <t>0.057</t>
  </si>
  <si>
    <t>0.0665</t>
  </si>
  <si>
    <t>0.0129440292825</t>
  </si>
  <si>
    <t>0.0810366862825</t>
  </si>
  <si>
    <t>0.1749012302825</t>
  </si>
  <si>
    <t>0.2291127032825</t>
  </si>
  <si>
    <t>0.0051741112825</t>
  </si>
  <si>
    <t>0.1156210792825</t>
  </si>
  <si>
    <t>0.2588021582825</t>
  </si>
  <si>
    <t>0.6535683702825</t>
  </si>
  <si>
    <t>0.0042402302825</t>
  </si>
  <si>
    <t>0.0925878532825</t>
  </si>
  <si>
    <t>0.2106877442825</t>
  </si>
  <si>
    <t>0.5669705512825</t>
  </si>
  <si>
    <t>0.0035261592825</t>
  </si>
  <si>
    <t>0.0027486852825</t>
  </si>
  <si>
    <t>0.0068484502825</t>
  </si>
  <si>
    <t>0.0745873242825</t>
  </si>
  <si>
    <t>0.0545980272825</t>
  </si>
  <si>
    <t>0.0416760192825</t>
  </si>
  <si>
    <t>0.1718361522825</t>
  </si>
  <si>
    <t>0.1273940932825</t>
  </si>
  <si>
    <t>0.0918758822825</t>
  </si>
  <si>
    <t>0.004601727</t>
  </si>
  <si>
    <t>0.072969567</t>
  </si>
  <si>
    <t>0.166871719</t>
  </si>
  <si>
    <t>0.474054718</t>
  </si>
  <si>
    <t>0.006359687</t>
  </si>
  <si>
    <t>0.116806655</t>
  </si>
  <si>
    <t>0.259987734</t>
  </si>
  <si>
    <t>0.654753946</t>
  </si>
  <si>
    <t>0.005425806</t>
  </si>
  <si>
    <t>0.093773429</t>
  </si>
  <si>
    <t>0.21187332</t>
  </si>
  <si>
    <t>0.568156127</t>
  </si>
  <si>
    <t>0.004711735</t>
  </si>
  <si>
    <t>0.003934261</t>
  </si>
  <si>
    <t>0.008034026</t>
  </si>
  <si>
    <t>0.0757729</t>
  </si>
  <si>
    <t>0.055783603</t>
  </si>
  <si>
    <t>0.042861595</t>
  </si>
  <si>
    <t>0.173021728</t>
  </si>
  <si>
    <t>0.128579669</t>
  </si>
  <si>
    <t>0.093061458</t>
  </si>
  <si>
    <t>0.003945579</t>
  </si>
  <si>
    <t>0.072313419</t>
  </si>
  <si>
    <t>0.166215571</t>
  </si>
  <si>
    <t>0.47339857</t>
  </si>
  <si>
    <t>0.005703539</t>
  </si>
  <si>
    <t>0.116150507</t>
  </si>
  <si>
    <t>0.259331586</t>
  </si>
  <si>
    <t>0.654097798</t>
  </si>
  <si>
    <t>0.004769658</t>
  </si>
  <si>
    <t>0.093117281</t>
  </si>
  <si>
    <t>0.211217172</t>
  </si>
  <si>
    <t>0.567499979</t>
  </si>
  <si>
    <t>0.004055587</t>
  </si>
  <si>
    <t>0.003278113</t>
  </si>
  <si>
    <t>0.007377878</t>
  </si>
  <si>
    <t>0.075116752</t>
  </si>
  <si>
    <t>0.055127455</t>
  </si>
  <si>
    <t>0.042205447</t>
  </si>
  <si>
    <t>0.17236558</t>
  </si>
  <si>
    <t>0.127923521</t>
  </si>
  <si>
    <t>0.09240531</t>
  </si>
  <si>
    <t xml:space="preserve">p.NnD  </t>
  </si>
  <si>
    <t xml:space="preserve"> v_p_HDage    </t>
  </si>
  <si>
    <t xml:space="preserve"> probability to die when healthy </t>
  </si>
  <si>
    <t xml:space="preserve">p.NpD  </t>
  </si>
  <si>
    <t xml:space="preserve">p.GnD  </t>
  </si>
  <si>
    <t xml:space="preserve">p.GpD  </t>
  </si>
  <si>
    <t xml:space="preserve">p.AnD  </t>
  </si>
  <si>
    <t xml:space="preserve">p.ApD  </t>
  </si>
  <si>
    <t xml:space="preserve">p.InD  </t>
  </si>
  <si>
    <t xml:space="preserve">p.IpD  </t>
  </si>
  <si>
    <t xml:space="preserve">p.DnD  </t>
  </si>
  <si>
    <t xml:space="preserve">p.DpD  </t>
  </si>
  <si>
    <t xml:space="preserve">p.1pD  </t>
  </si>
  <si>
    <t xml:space="preserve"> v_p_1aDage   </t>
  </si>
  <si>
    <t xml:space="preserve">p.2pD  </t>
  </si>
  <si>
    <t xml:space="preserve"> v_p_2aDage   </t>
  </si>
  <si>
    <t xml:space="preserve">p.3pD  </t>
  </si>
  <si>
    <t xml:space="preserve"> v_p_3aDage   </t>
  </si>
  <si>
    <t xml:space="preserve">p.4pD  </t>
  </si>
  <si>
    <t xml:space="preserve"> v_p_4aDage   </t>
  </si>
  <si>
    <t xml:space="preserve">p.1caD </t>
  </si>
  <si>
    <t xml:space="preserve">p.2caD </t>
  </si>
  <si>
    <t xml:space="preserve">p.3caD </t>
  </si>
  <si>
    <t xml:space="preserve">p.4caD </t>
  </si>
  <si>
    <t xml:space="preserve">p.1cbD </t>
  </si>
  <si>
    <t xml:space="preserve"> v_p_1bDage   </t>
  </si>
  <si>
    <t xml:space="preserve">p.2cbD </t>
  </si>
  <si>
    <t xml:space="preserve"> v_p_2bDage   </t>
  </si>
  <si>
    <t xml:space="preserve">p.3cbD </t>
  </si>
  <si>
    <t xml:space="preserve"> v_p_3bDage   </t>
  </si>
  <si>
    <t xml:space="preserve">p.4cbD </t>
  </si>
  <si>
    <t xml:space="preserve"> v_p_4bDage   </t>
  </si>
  <si>
    <t xml:space="preserve">p.1ccD </t>
  </si>
  <si>
    <t xml:space="preserve"> v_p_1cDage   </t>
  </si>
  <si>
    <t xml:space="preserve">p.2ccD </t>
  </si>
  <si>
    <t xml:space="preserve"> v_p_2cDage   </t>
  </si>
  <si>
    <t xml:space="preserve">p.3ccD </t>
  </si>
  <si>
    <t xml:space="preserve"> v_p_3cDage   </t>
  </si>
  <si>
    <t xml:space="preserve">p.4ccD </t>
  </si>
  <si>
    <t xml:space="preserve"> v_p_4cDage   </t>
  </si>
  <si>
    <t xml:space="preserve">p.1cdD </t>
  </si>
  <si>
    <t xml:space="preserve"> v_p_1dDage   </t>
  </si>
  <si>
    <t xml:space="preserve">p.2cdD </t>
  </si>
  <si>
    <t xml:space="preserve"> v_p_2dDage   </t>
  </si>
  <si>
    <t xml:space="preserve">p.3cdD </t>
  </si>
  <si>
    <t xml:space="preserve"> v_p_3dDage   </t>
  </si>
  <si>
    <t xml:space="preserve">p.4cdD </t>
  </si>
  <si>
    <t xml:space="preserve"> v_p_4dDage   </t>
  </si>
  <si>
    <t xml:space="preserve">p.1ceD </t>
  </si>
  <si>
    <t xml:space="preserve"> v_p_1eDage   </t>
  </si>
  <si>
    <t xml:space="preserve">p.2ceD </t>
  </si>
  <si>
    <t xml:space="preserve"> v_p_2eDage   </t>
  </si>
  <si>
    <t xml:space="preserve">p.3ceD </t>
  </si>
  <si>
    <t xml:space="preserve"> v_p_3eDage   </t>
  </si>
  <si>
    <t xml:space="preserve">p.4ceD </t>
  </si>
  <si>
    <t xml:space="preserve"> v_p_4eDage   </t>
  </si>
  <si>
    <t xml:space="preserve">p.1cfD </t>
  </si>
  <si>
    <t xml:space="preserve"> v_p_1fDage   </t>
  </si>
  <si>
    <t xml:space="preserve">p.2cfD </t>
  </si>
  <si>
    <t xml:space="preserve"> v_p_2fDage   </t>
  </si>
  <si>
    <t xml:space="preserve">p.3cfD </t>
  </si>
  <si>
    <t xml:space="preserve"> v_p_3fDage   </t>
  </si>
  <si>
    <t xml:space="preserve">p.4cfD </t>
  </si>
  <si>
    <t xml:space="preserve"> v_p_4fDage   </t>
  </si>
  <si>
    <t xml:space="preserve">p.NnD31  </t>
  </si>
  <si>
    <t xml:space="preserve"> v_p_HDage31    </t>
  </si>
  <si>
    <t xml:space="preserve">p.NpD31  </t>
  </si>
  <si>
    <t xml:space="preserve">p.GnD31  </t>
  </si>
  <si>
    <t xml:space="preserve">p.GpD31  </t>
  </si>
  <si>
    <t xml:space="preserve">p.AnD31  </t>
  </si>
  <si>
    <t xml:space="preserve">p.ApD31  </t>
  </si>
  <si>
    <t xml:space="preserve">p.InD31  </t>
  </si>
  <si>
    <t xml:space="preserve">p.IpD31  </t>
  </si>
  <si>
    <t xml:space="preserve">p.DnD31  </t>
  </si>
  <si>
    <t xml:space="preserve">p.DpD31  </t>
  </si>
  <si>
    <t xml:space="preserve">p.1pD31  </t>
  </si>
  <si>
    <t xml:space="preserve"> v_p_1aDage31   </t>
  </si>
  <si>
    <t xml:space="preserve">p.2pD31  </t>
  </si>
  <si>
    <t xml:space="preserve"> v_p_2aDage31   </t>
  </si>
  <si>
    <t xml:space="preserve">p.3pD31  </t>
  </si>
  <si>
    <t xml:space="preserve"> v_p_3aDage31   </t>
  </si>
  <si>
    <t xml:space="preserve">p.4pD31  </t>
  </si>
  <si>
    <t xml:space="preserve"> v_p_4aDage31   </t>
  </si>
  <si>
    <t xml:space="preserve">p.1caD31 </t>
  </si>
  <si>
    <t xml:space="preserve">p.2caD31 </t>
  </si>
  <si>
    <t xml:space="preserve">p.3caD31 </t>
  </si>
  <si>
    <t xml:space="preserve">p.4caD31 </t>
  </si>
  <si>
    <t xml:space="preserve">p.1cbD31 </t>
  </si>
  <si>
    <t xml:space="preserve"> v_p_1bDage31   </t>
  </si>
  <si>
    <t xml:space="preserve">p.2cbD31 </t>
  </si>
  <si>
    <t xml:space="preserve"> v_p_2bDage31   </t>
  </si>
  <si>
    <t xml:space="preserve">p.3cbD31 </t>
  </si>
  <si>
    <t xml:space="preserve"> v_p_3bDage31   </t>
  </si>
  <si>
    <t xml:space="preserve">p.4cbD31 </t>
  </si>
  <si>
    <t xml:space="preserve"> v_p_4bDage31   </t>
  </si>
  <si>
    <t xml:space="preserve">p.1ccD31 </t>
  </si>
  <si>
    <t xml:space="preserve"> v_p_1cDage31   </t>
  </si>
  <si>
    <t xml:space="preserve">p.2ccD31 </t>
  </si>
  <si>
    <t xml:space="preserve"> v_p_2cDage31   </t>
  </si>
  <si>
    <t xml:space="preserve">p.3ccD31 </t>
  </si>
  <si>
    <t xml:space="preserve"> v_p_3cDage31   </t>
  </si>
  <si>
    <t xml:space="preserve">p.4ccD31 </t>
  </si>
  <si>
    <t xml:space="preserve"> v_p_4cDage31   </t>
  </si>
  <si>
    <t xml:space="preserve">p.1cdD31 </t>
  </si>
  <si>
    <t xml:space="preserve"> v_p_1dDage31   </t>
  </si>
  <si>
    <t xml:space="preserve">p.2cdD31 </t>
  </si>
  <si>
    <t xml:space="preserve"> v_p_2dDage31   </t>
  </si>
  <si>
    <t xml:space="preserve">p.3cdD31 </t>
  </si>
  <si>
    <t xml:space="preserve"> v_p_3dDage31   </t>
  </si>
  <si>
    <t xml:space="preserve">p.4cdD31 </t>
  </si>
  <si>
    <t xml:space="preserve"> v_p_4dDage31   </t>
  </si>
  <si>
    <t xml:space="preserve">p.1ceD31 </t>
  </si>
  <si>
    <t xml:space="preserve"> v_p_1eDage31   </t>
  </si>
  <si>
    <t xml:space="preserve">p.2ceD31 </t>
  </si>
  <si>
    <t xml:space="preserve"> v_p_2eDage31   </t>
  </si>
  <si>
    <t xml:space="preserve">p.3ceD31 </t>
  </si>
  <si>
    <t xml:space="preserve"> v_p_3eDage31   </t>
  </si>
  <si>
    <t xml:space="preserve">p.4ceD31 </t>
  </si>
  <si>
    <t xml:space="preserve"> v_p_4eDage31   </t>
  </si>
  <si>
    <t xml:space="preserve">p.1cfD31 </t>
  </si>
  <si>
    <t xml:space="preserve"> v_p_1fDage31   </t>
  </si>
  <si>
    <t xml:space="preserve">p.2cfD31 </t>
  </si>
  <si>
    <t xml:space="preserve"> v_p_2fDage31   </t>
  </si>
  <si>
    <t xml:space="preserve">p.3cfD31 </t>
  </si>
  <si>
    <t xml:space="preserve"> v_p_3fDage31   </t>
  </si>
  <si>
    <t xml:space="preserve">p.4cfD31 </t>
  </si>
  <si>
    <t xml:space="preserve"> v_p_4fDage31   </t>
  </si>
  <si>
    <t xml:space="preserve">p.NnD3044  </t>
  </si>
  <si>
    <t xml:space="preserve"> v_p_HDage3044    </t>
  </si>
  <si>
    <t xml:space="preserve">p.NpD3044  </t>
  </si>
  <si>
    <t xml:space="preserve">p.GnD3044  </t>
  </si>
  <si>
    <t xml:space="preserve">p.GpD3044  </t>
  </si>
  <si>
    <t xml:space="preserve">p.AnD3044  </t>
  </si>
  <si>
    <t xml:space="preserve">p.ApD3044  </t>
  </si>
  <si>
    <t xml:space="preserve">p.InD3044  </t>
  </si>
  <si>
    <t xml:space="preserve">p.IpD3044  </t>
  </si>
  <si>
    <t xml:space="preserve">p.DnD3044  </t>
  </si>
  <si>
    <t xml:space="preserve">p.DpD3044  </t>
  </si>
  <si>
    <t xml:space="preserve">p.1pD3044  </t>
  </si>
  <si>
    <t xml:space="preserve"> v_p_1aDage3044   </t>
  </si>
  <si>
    <t xml:space="preserve">p.2pD3044  </t>
  </si>
  <si>
    <t xml:space="preserve"> v_p_2aDage3044   </t>
  </si>
  <si>
    <t xml:space="preserve">p.3pD3044  </t>
  </si>
  <si>
    <t xml:space="preserve"> v_p_3aDage3044   </t>
  </si>
  <si>
    <t xml:space="preserve">p.4pD3044  </t>
  </si>
  <si>
    <t xml:space="preserve"> v_p_4aDage3044   </t>
  </si>
  <si>
    <t xml:space="preserve">p.1caD3044 </t>
  </si>
  <si>
    <t xml:space="preserve">p.2caD3044 </t>
  </si>
  <si>
    <t xml:space="preserve">p.3caD3044 </t>
  </si>
  <si>
    <t xml:space="preserve">p.4caD3044 </t>
  </si>
  <si>
    <t xml:space="preserve">p.1cbD3044 </t>
  </si>
  <si>
    <t xml:space="preserve"> v_p_1bDage3044   </t>
  </si>
  <si>
    <t xml:space="preserve">p.2cbD3044 </t>
  </si>
  <si>
    <t xml:space="preserve"> v_p_2bDage3044   </t>
  </si>
  <si>
    <t xml:space="preserve">p.3cbD3044 </t>
  </si>
  <si>
    <t xml:space="preserve"> v_p_3bDage3044   </t>
  </si>
  <si>
    <t xml:space="preserve">p.4cbD3044 </t>
  </si>
  <si>
    <t xml:space="preserve"> v_p_4bDage3044   </t>
  </si>
  <si>
    <t xml:space="preserve">p.1ccD3044 </t>
  </si>
  <si>
    <t xml:space="preserve"> v_p_1cDage3044   </t>
  </si>
  <si>
    <t xml:space="preserve">p.2ccD3044 </t>
  </si>
  <si>
    <t xml:space="preserve"> v_p_2cDage3044   </t>
  </si>
  <si>
    <t xml:space="preserve">p.3ccD3044 </t>
  </si>
  <si>
    <t xml:space="preserve"> v_p_3cDage3044   </t>
  </si>
  <si>
    <t xml:space="preserve">p.4ccD3044 </t>
  </si>
  <si>
    <t xml:space="preserve"> v_p_4cDage3044   </t>
  </si>
  <si>
    <t xml:space="preserve">p.1cdD3044 </t>
  </si>
  <si>
    <t xml:space="preserve"> v_p_1dDage3044   </t>
  </si>
  <si>
    <t xml:space="preserve">p.2cdD3044 </t>
  </si>
  <si>
    <t xml:space="preserve"> v_p_2dDage3044   </t>
  </si>
  <si>
    <t xml:space="preserve">p.3cdD3044 </t>
  </si>
  <si>
    <t xml:space="preserve"> v_p_3dDage3044   </t>
  </si>
  <si>
    <t xml:space="preserve">p.4cdD3044 </t>
  </si>
  <si>
    <t xml:space="preserve"> v_p_4dDage3044   </t>
  </si>
  <si>
    <t xml:space="preserve">p.1ceD3044 </t>
  </si>
  <si>
    <t xml:space="preserve"> v_p_1eDage3044   </t>
  </si>
  <si>
    <t xml:space="preserve">p.2ceD3044 </t>
  </si>
  <si>
    <t xml:space="preserve"> v_p_2eDage3044   </t>
  </si>
  <si>
    <t xml:space="preserve">p.3ceD3044 </t>
  </si>
  <si>
    <t xml:space="preserve"> v_p_3eDage3044   </t>
  </si>
  <si>
    <t xml:space="preserve">p.4ceD3044 </t>
  </si>
  <si>
    <t xml:space="preserve"> v_p_4eDage3044   </t>
  </si>
  <si>
    <t xml:space="preserve">p.1cfD3044 </t>
  </si>
  <si>
    <t xml:space="preserve"> v_p_1fDage3044   </t>
  </si>
  <si>
    <t xml:space="preserve">p.2cfD3044 </t>
  </si>
  <si>
    <t xml:space="preserve"> v_p_2fDage3044   </t>
  </si>
  <si>
    <t xml:space="preserve">p.3cfD3044 </t>
  </si>
  <si>
    <t xml:space="preserve"> v_p_3fDage3044   </t>
  </si>
  <si>
    <t xml:space="preserve">p.4cfD3044 </t>
  </si>
  <si>
    <t xml:space="preserve"> v_p_4fDage3044   </t>
  </si>
  <si>
    <t xml:space="preserve">p.NnD46  </t>
  </si>
  <si>
    <t xml:space="preserve"> v_p_HDage46     </t>
  </si>
  <si>
    <t xml:space="preserve">p.NpD46  </t>
  </si>
  <si>
    <t xml:space="preserve">p.GnD46  </t>
  </si>
  <si>
    <t xml:space="preserve">p.GpD46  </t>
  </si>
  <si>
    <t xml:space="preserve">p.AnD46  </t>
  </si>
  <si>
    <t xml:space="preserve">p.ApD46  </t>
  </si>
  <si>
    <t xml:space="preserve">p.InD46  </t>
  </si>
  <si>
    <t xml:space="preserve">p.IpD46  </t>
  </si>
  <si>
    <t xml:space="preserve">p.DnD46  </t>
  </si>
  <si>
    <t xml:space="preserve">p.DpD46  </t>
  </si>
  <si>
    <t xml:space="preserve">p.1pD46  </t>
  </si>
  <si>
    <t xml:space="preserve"> v_p_1aDage46    </t>
  </si>
  <si>
    <t xml:space="preserve">p.2pD46  </t>
  </si>
  <si>
    <t xml:space="preserve"> v_p_2aDage46    </t>
  </si>
  <si>
    <t xml:space="preserve">p.3pD46  </t>
  </si>
  <si>
    <t xml:space="preserve"> v_p_3aDage46    </t>
  </si>
  <si>
    <t xml:space="preserve">p.4pD46  </t>
  </si>
  <si>
    <t xml:space="preserve"> v_p_4aDage46    </t>
  </si>
  <si>
    <t xml:space="preserve">p.1caD46 </t>
  </si>
  <si>
    <t xml:space="preserve">p.2caD46 </t>
  </si>
  <si>
    <t xml:space="preserve">p.3caD46 </t>
  </si>
  <si>
    <t xml:space="preserve">p.4caD46 </t>
  </si>
  <si>
    <t xml:space="preserve">p.1cbD46 </t>
  </si>
  <si>
    <t xml:space="preserve"> v_p_1bDage46    </t>
  </si>
  <si>
    <t xml:space="preserve">p.2cbD46 </t>
  </si>
  <si>
    <t xml:space="preserve"> v_p_2bDage46    </t>
  </si>
  <si>
    <t xml:space="preserve">p.3cbD46 </t>
  </si>
  <si>
    <t xml:space="preserve"> v_p_3bDage46    </t>
  </si>
  <si>
    <t xml:space="preserve">p.4cbD46 </t>
  </si>
  <si>
    <t xml:space="preserve"> v_p_4bDage46    </t>
  </si>
  <si>
    <t xml:space="preserve">p.1ccD46 </t>
  </si>
  <si>
    <t xml:space="preserve"> v_p_1cDage46    </t>
  </si>
  <si>
    <t xml:space="preserve">p.2ccD46 </t>
  </si>
  <si>
    <t xml:space="preserve"> v_p_2cDage46    </t>
  </si>
  <si>
    <t xml:space="preserve">p.3ccD46 </t>
  </si>
  <si>
    <t xml:space="preserve"> v_p_3cDage46    </t>
  </si>
  <si>
    <t xml:space="preserve">p.4ccD46 </t>
  </si>
  <si>
    <t xml:space="preserve"> v_p_4cDage46    </t>
  </si>
  <si>
    <t xml:space="preserve">p.1cdD46 </t>
  </si>
  <si>
    <t xml:space="preserve"> v_p_1dDage46    </t>
  </si>
  <si>
    <t xml:space="preserve">p.2cdD46 </t>
  </si>
  <si>
    <t xml:space="preserve"> v_p_2dDage46    </t>
  </si>
  <si>
    <t xml:space="preserve">p.3cdD46 </t>
  </si>
  <si>
    <t xml:space="preserve"> v_p_3dDage46    </t>
  </si>
  <si>
    <t xml:space="preserve">p.4cdD46 </t>
  </si>
  <si>
    <t xml:space="preserve"> v_p_4dDage46    </t>
  </si>
  <si>
    <t xml:space="preserve">p.1ceD46 </t>
  </si>
  <si>
    <t xml:space="preserve"> v_p_1eDage46    </t>
  </si>
  <si>
    <t xml:space="preserve">p.2ceD46 </t>
  </si>
  <si>
    <t xml:space="preserve"> v_p_2eDage46    </t>
  </si>
  <si>
    <t xml:space="preserve">p.3ceD46 </t>
  </si>
  <si>
    <t xml:space="preserve"> v_p_3eDage46    </t>
  </si>
  <si>
    <t xml:space="preserve">p.4ceD46 </t>
  </si>
  <si>
    <t xml:space="preserve"> v_p_4eDage46    </t>
  </si>
  <si>
    <t xml:space="preserve">p.1cfD46 </t>
  </si>
  <si>
    <t xml:space="preserve"> v_p_1fDage46    </t>
  </si>
  <si>
    <t xml:space="preserve">p.2cfD46 </t>
  </si>
  <si>
    <t xml:space="preserve"> v_p_2fDage46    </t>
  </si>
  <si>
    <t xml:space="preserve">p.3cfD46 </t>
  </si>
  <si>
    <t xml:space="preserve"> v_p_3fDage46    </t>
  </si>
  <si>
    <t xml:space="preserve">p.4cfD46 </t>
  </si>
  <si>
    <t xml:space="preserve"> v_p_4fDage46    </t>
  </si>
  <si>
    <t xml:space="preserve">p.NnD3039  </t>
  </si>
  <si>
    <t xml:space="preserve"> v_p_HDage3039    </t>
  </si>
  <si>
    <t xml:space="preserve">p.NpD3039  </t>
  </si>
  <si>
    <t xml:space="preserve">p.GnD3039  </t>
  </si>
  <si>
    <t xml:space="preserve">p.GpD3039  </t>
  </si>
  <si>
    <t xml:space="preserve">p.AnD3039  </t>
  </si>
  <si>
    <t xml:space="preserve">p.ApD3039  </t>
  </si>
  <si>
    <t xml:space="preserve">p.InD3039  </t>
  </si>
  <si>
    <t xml:space="preserve">p.IpD3039  </t>
  </si>
  <si>
    <t xml:space="preserve">p.DnD3039  </t>
  </si>
  <si>
    <t xml:space="preserve">p.DpD3039  </t>
  </si>
  <si>
    <t xml:space="preserve">p.1pD3039  </t>
  </si>
  <si>
    <t xml:space="preserve"> v_p_1aDage3039   </t>
  </si>
  <si>
    <t xml:space="preserve">p.2pD3039  </t>
  </si>
  <si>
    <t xml:space="preserve"> v_p_2aDage3039   </t>
  </si>
  <si>
    <t xml:space="preserve">p.3pD3039  </t>
  </si>
  <si>
    <t xml:space="preserve"> v_p_3aDage3039   </t>
  </si>
  <si>
    <t xml:space="preserve">p.4pD3039  </t>
  </si>
  <si>
    <t xml:space="preserve"> v_p_4aDage3039   </t>
  </si>
  <si>
    <t xml:space="preserve">p.1caD3039 </t>
  </si>
  <si>
    <t xml:space="preserve">p.2caD3039 </t>
  </si>
  <si>
    <t xml:space="preserve">p.3caD3039 </t>
  </si>
  <si>
    <t xml:space="preserve">p.4caD3039 </t>
  </si>
  <si>
    <t xml:space="preserve">p.1cbD3039 </t>
  </si>
  <si>
    <t xml:space="preserve"> v_p_1bDage3039   </t>
  </si>
  <si>
    <t xml:space="preserve">p.2cbD3039 </t>
  </si>
  <si>
    <t xml:space="preserve"> v_p_2bDage3039   </t>
  </si>
  <si>
    <t xml:space="preserve">p.3cbD3039 </t>
  </si>
  <si>
    <t xml:space="preserve"> v_p_3bDage3039   </t>
  </si>
  <si>
    <t xml:space="preserve">p.4cbD3039 </t>
  </si>
  <si>
    <t xml:space="preserve"> v_p_4bDage3039   </t>
  </si>
  <si>
    <t xml:space="preserve">p.1ccD3039 </t>
  </si>
  <si>
    <t xml:space="preserve"> v_p_1cDage3039   </t>
  </si>
  <si>
    <t xml:space="preserve">p.2ccD3039 </t>
  </si>
  <si>
    <t xml:space="preserve"> v_p_2cDage3039   </t>
  </si>
  <si>
    <t xml:space="preserve">p.3ccD3039 </t>
  </si>
  <si>
    <t xml:space="preserve"> v_p_3cDage3039   </t>
  </si>
  <si>
    <t xml:space="preserve">p.4ccD3039 </t>
  </si>
  <si>
    <t xml:space="preserve"> v_p_4cDage3039   </t>
  </si>
  <si>
    <t xml:space="preserve">p.1cdD3039 </t>
  </si>
  <si>
    <t xml:space="preserve"> v_p_1dDage3039   </t>
  </si>
  <si>
    <t xml:space="preserve">p.2cdD3039 </t>
  </si>
  <si>
    <t xml:space="preserve"> v_p_2dDage3039   </t>
  </si>
  <si>
    <t xml:space="preserve">p.3cdD3039 </t>
  </si>
  <si>
    <t xml:space="preserve"> v_p_3dDage3039   </t>
  </si>
  <si>
    <t xml:space="preserve">p.4cdD3039 </t>
  </si>
  <si>
    <t xml:space="preserve"> v_p_4dDage3039   </t>
  </si>
  <si>
    <t xml:space="preserve">p.1ceD3039 </t>
  </si>
  <si>
    <t xml:space="preserve"> v_p_1eDage3039   </t>
  </si>
  <si>
    <t xml:space="preserve">p.2ceD3039 </t>
  </si>
  <si>
    <t xml:space="preserve"> v_p_2eDage3039   </t>
  </si>
  <si>
    <t xml:space="preserve">p.3ceD3039 </t>
  </si>
  <si>
    <t xml:space="preserve"> v_p_3eDage3039   </t>
  </si>
  <si>
    <t xml:space="preserve">p.4ceD3039 </t>
  </si>
  <si>
    <t xml:space="preserve"> v_p_4eDage3039   </t>
  </si>
  <si>
    <t xml:space="preserve">p.1cfD3039 </t>
  </si>
  <si>
    <t xml:space="preserve"> v_p_1fDage3039   </t>
  </si>
  <si>
    <t xml:space="preserve">p.2cfD3039 </t>
  </si>
  <si>
    <t xml:space="preserve"> v_p_2fDage3039   </t>
  </si>
  <si>
    <t xml:space="preserve">p.3cfD3039 </t>
  </si>
  <si>
    <t xml:space="preserve"> v_p_3fDage3039   </t>
  </si>
  <si>
    <t xml:space="preserve">p.4cfD3039 </t>
  </si>
  <si>
    <t xml:space="preserve"> v_p_4fDage3039   </t>
  </si>
  <si>
    <t xml:space="preserve">p.NnD41  </t>
  </si>
  <si>
    <t xml:space="preserve"> v_p_HDage41     </t>
  </si>
  <si>
    <t xml:space="preserve">p.NpD41  </t>
  </si>
  <si>
    <t xml:space="preserve">p.GnD41  </t>
  </si>
  <si>
    <t xml:space="preserve">p.GpD41  </t>
  </si>
  <si>
    <t xml:space="preserve">p.AnD41  </t>
  </si>
  <si>
    <t xml:space="preserve">p.ApD41  </t>
  </si>
  <si>
    <t xml:space="preserve">p.InD41  </t>
  </si>
  <si>
    <t xml:space="preserve">p.IpD41  </t>
  </si>
  <si>
    <t xml:space="preserve">p.DnD41  </t>
  </si>
  <si>
    <t xml:space="preserve">p.DpD41  </t>
  </si>
  <si>
    <t xml:space="preserve">p.1pD41  </t>
  </si>
  <si>
    <t xml:space="preserve"> v_p_1aDage41    </t>
  </si>
  <si>
    <t xml:space="preserve">p.2pD41  </t>
  </si>
  <si>
    <t xml:space="preserve"> v_p_2aDage41    </t>
  </si>
  <si>
    <t xml:space="preserve">p.3pD41  </t>
  </si>
  <si>
    <t xml:space="preserve"> v_p_3aDage41    </t>
  </si>
  <si>
    <t xml:space="preserve">p.4pD41  </t>
  </si>
  <si>
    <t xml:space="preserve"> v_p_4aDage41    </t>
  </si>
  <si>
    <t xml:space="preserve">p.1caD41 </t>
  </si>
  <si>
    <t xml:space="preserve">p.2caD41 </t>
  </si>
  <si>
    <t xml:space="preserve">p.3caD41 </t>
  </si>
  <si>
    <t xml:space="preserve">p.4caD41 </t>
  </si>
  <si>
    <t xml:space="preserve">p.1cbD41 </t>
  </si>
  <si>
    <t xml:space="preserve"> v_p_1bDage41    </t>
  </si>
  <si>
    <t xml:space="preserve">p.2cbD41 </t>
  </si>
  <si>
    <t xml:space="preserve"> v_p_2bDage41    </t>
  </si>
  <si>
    <t xml:space="preserve">p.3cbD41 </t>
  </si>
  <si>
    <t xml:space="preserve"> v_p_3bDage41    </t>
  </si>
  <si>
    <t xml:space="preserve">p.4cbD41 </t>
  </si>
  <si>
    <t xml:space="preserve"> v_p_4bDage41    </t>
  </si>
  <si>
    <t xml:space="preserve">p.1ccD41 </t>
  </si>
  <si>
    <t xml:space="preserve"> v_p_1cDage41    </t>
  </si>
  <si>
    <t xml:space="preserve">p.2ccD41 </t>
  </si>
  <si>
    <t xml:space="preserve"> v_p_2cDage41    </t>
  </si>
  <si>
    <t xml:space="preserve">p.3ccD41 </t>
  </si>
  <si>
    <t xml:space="preserve"> v_p_3cDage41    </t>
  </si>
  <si>
    <t xml:space="preserve">p.4ccD41 </t>
  </si>
  <si>
    <t xml:space="preserve"> v_p_4cDage41    </t>
  </si>
  <si>
    <t xml:space="preserve">p.1cdD41 </t>
  </si>
  <si>
    <t xml:space="preserve"> v_p_1dDage41    </t>
  </si>
  <si>
    <t xml:space="preserve">p.2cdD41 </t>
  </si>
  <si>
    <t xml:space="preserve"> v_p_2dDage41    </t>
  </si>
  <si>
    <t xml:space="preserve">p.3cdD41 </t>
  </si>
  <si>
    <t xml:space="preserve"> v_p_3dDage41    </t>
  </si>
  <si>
    <t xml:space="preserve">p.4cdD41 </t>
  </si>
  <si>
    <t xml:space="preserve"> v_p_4dDage41    </t>
  </si>
  <si>
    <t xml:space="preserve">p.1ceD41 </t>
  </si>
  <si>
    <t xml:space="preserve"> v_p_1eDage41    </t>
  </si>
  <si>
    <t xml:space="preserve">p.2ceD41 </t>
  </si>
  <si>
    <t xml:space="preserve"> v_p_2eDage41    </t>
  </si>
  <si>
    <t xml:space="preserve">p.3ceD41 </t>
  </si>
  <si>
    <t xml:space="preserve"> v_p_3eDage41    </t>
  </si>
  <si>
    <t xml:space="preserve">p.4ceD41 </t>
  </si>
  <si>
    <t xml:space="preserve"> v_p_4eDage41    </t>
  </si>
  <si>
    <t xml:space="preserve">p.1cfD41 </t>
  </si>
  <si>
    <t xml:space="preserve"> v_p_1fDage41    </t>
  </si>
  <si>
    <t xml:space="preserve">p.2cfD41 </t>
  </si>
  <si>
    <t xml:space="preserve"> v_p_2fDage41    </t>
  </si>
  <si>
    <t xml:space="preserve">p.3cfD41 </t>
  </si>
  <si>
    <t xml:space="preserve"> v_p_3fDage41    </t>
  </si>
  <si>
    <t xml:space="preserve">p.4cfD41 </t>
  </si>
  <si>
    <t xml:space="preserve"> v_p_4fDage41    </t>
  </si>
  <si>
    <t>value</t>
  </si>
  <si>
    <t>usage</t>
  </si>
  <si>
    <t>yes</t>
  </si>
  <si>
    <t>no</t>
  </si>
  <si>
    <t>SE</t>
  </si>
  <si>
    <t>DE</t>
  </si>
  <si>
    <t>sd</t>
  </si>
  <si>
    <t>hr_s1</t>
  </si>
  <si>
    <t>hr_s2</t>
  </si>
  <si>
    <t>hr_s3</t>
  </si>
  <si>
    <t>hr_s4</t>
  </si>
  <si>
    <t>hr_s5</t>
  </si>
  <si>
    <t>hr_s6</t>
  </si>
  <si>
    <t>lognormal</t>
  </si>
  <si>
    <t>rti.1</t>
  </si>
  <si>
    <t>rti.2</t>
  </si>
  <si>
    <t>rti.3</t>
  </si>
  <si>
    <t>rti.4</t>
  </si>
  <si>
    <t>rti.5</t>
  </si>
  <si>
    <t>rti.6</t>
  </si>
  <si>
    <t>rti.7</t>
  </si>
  <si>
    <t>time_efect</t>
  </si>
  <si>
    <t>probability to become normal when stage  4 clinical</t>
  </si>
  <si>
    <t>probability to become normal when stage  1 clinical</t>
  </si>
  <si>
    <t>probability to become normal when stage  2 clinical</t>
  </si>
  <si>
    <t>c.Serología</t>
  </si>
  <si>
    <t>04/13/2026</t>
  </si>
  <si>
    <t xml:space="preserve">UF </t>
  </si>
  <si>
    <t>c.Serología.9</t>
  </si>
  <si>
    <t>AYSEN</t>
  </si>
  <si>
    <t>c.Serología.8</t>
  </si>
  <si>
    <t>MAGALLANES</t>
  </si>
  <si>
    <t>c.Serología.7</t>
  </si>
  <si>
    <t>RELONCAVÍ</t>
  </si>
  <si>
    <t>c.Serología.6</t>
  </si>
  <si>
    <t>LOS RÍOS</t>
  </si>
  <si>
    <t>c.Serología.5</t>
  </si>
  <si>
    <t>CONCEPCIÓN</t>
  </si>
  <si>
    <t>c.Serología.4</t>
  </si>
  <si>
    <t>ÑUBLE</t>
  </si>
  <si>
    <t>c.Serología.3</t>
  </si>
  <si>
    <t>MET SUR</t>
  </si>
  <si>
    <t>c.Serología.2</t>
  </si>
  <si>
    <t>COQUIMBO</t>
  </si>
  <si>
    <t>c.Serología.1</t>
  </si>
  <si>
    <t>ARICA</t>
  </si>
  <si>
    <t>peso chileno</t>
  </si>
  <si>
    <t>Costeo</t>
  </si>
  <si>
    <t>UF</t>
  </si>
  <si>
    <t>VALORES ACEPTABILIDAD</t>
  </si>
  <si>
    <t>PROMEDIO</t>
  </si>
  <si>
    <t>MIN</t>
  </si>
  <si>
    <t>MAX</t>
  </si>
  <si>
    <t>SANGRE</t>
  </si>
  <si>
    <t>SIN SINTOMAS</t>
  </si>
  <si>
    <t>CON SINTOMAS</t>
  </si>
  <si>
    <t>AIRE</t>
  </si>
  <si>
    <t>PRE ERRAD</t>
  </si>
  <si>
    <t>POST ERRAD</t>
  </si>
  <si>
    <t>probability acceptance strategy 1 pre-ERRAD (UreaAire)</t>
  </si>
  <si>
    <t>probability acceptance strategy 1 post-ERRAD (UreaAire)</t>
  </si>
  <si>
    <t>probability acceptance strategy 1 pre-ERRAD (AntigenoFecal)</t>
  </si>
  <si>
    <t>probability acceptance strategy 1 post-ERRAD (AntigenoFecal)</t>
  </si>
  <si>
    <t>a.S1_1</t>
  </si>
  <si>
    <t>a.S1_2</t>
  </si>
  <si>
    <t>a.S2_1</t>
  </si>
  <si>
    <t>a.S2_2</t>
  </si>
  <si>
    <t>ANTIGENO FECAL</t>
  </si>
  <si>
    <t>a.S5_1</t>
  </si>
  <si>
    <t>a.S5_2</t>
  </si>
  <si>
    <t xml:space="preserve">probability acceptance strategy 5 sintomático (Serologia) </t>
  </si>
  <si>
    <t xml:space="preserve">probability acceptance strategy 5 asintomático (Serologia) </t>
  </si>
  <si>
    <t>ARNOLDO RIQUELME 19/02</t>
  </si>
  <si>
    <t>rti</t>
  </si>
  <si>
    <t>rti.8</t>
  </si>
  <si>
    <t>rti.9</t>
  </si>
  <si>
    <t>rti.10</t>
  </si>
  <si>
    <t>rti.11</t>
  </si>
  <si>
    <t>rti.12</t>
  </si>
  <si>
    <t>rti.13</t>
  </si>
  <si>
    <t>rti.14</t>
  </si>
  <si>
    <t>rti.15</t>
  </si>
  <si>
    <t>rti.16</t>
  </si>
  <si>
    <t>rti.17</t>
  </si>
  <si>
    <t>rti.18</t>
  </si>
  <si>
    <t>rti.19</t>
  </si>
  <si>
    <t>rti.20</t>
  </si>
  <si>
    <t>rti.21</t>
  </si>
  <si>
    <t>rti.22</t>
  </si>
  <si>
    <t>rti.23</t>
  </si>
  <si>
    <t>rti.24</t>
  </si>
  <si>
    <t>rti.25</t>
  </si>
  <si>
    <t>rti.26</t>
  </si>
  <si>
    <t>rti.27</t>
  </si>
  <si>
    <t>rti.28</t>
  </si>
  <si>
    <t>rti.29</t>
  </si>
  <si>
    <t>rti.30</t>
  </si>
  <si>
    <t>rti.31</t>
  </si>
  <si>
    <t>rti.32</t>
  </si>
  <si>
    <t>rti.33</t>
  </si>
  <si>
    <t>rti.34</t>
  </si>
  <si>
    <t>rti.35</t>
  </si>
  <si>
    <t>rti.36</t>
  </si>
  <si>
    <t>rti.37</t>
  </si>
  <si>
    <t>rti.38</t>
  </si>
  <si>
    <t>rti.39</t>
  </si>
  <si>
    <t>rti.40</t>
  </si>
  <si>
    <t>rti.41</t>
  </si>
  <si>
    <t>rti.42</t>
  </si>
  <si>
    <t>rti.43</t>
  </si>
  <si>
    <t>rti.44</t>
  </si>
  <si>
    <t>rti.45</t>
  </si>
  <si>
    <t>rti.46</t>
  </si>
  <si>
    <t>rti.47</t>
  </si>
  <si>
    <t>rti.48</t>
  </si>
  <si>
    <t>rti.49</t>
  </si>
  <si>
    <t>rti.50</t>
  </si>
  <si>
    <t>rti.51</t>
  </si>
  <si>
    <t>rti.52</t>
  </si>
  <si>
    <t>rti.53</t>
  </si>
  <si>
    <t>rti.54</t>
  </si>
  <si>
    <t>rti.55</t>
  </si>
  <si>
    <t>rti.56</t>
  </si>
  <si>
    <t>rti.57</t>
  </si>
  <si>
    <t>rti.58</t>
  </si>
  <si>
    <t>rti.59</t>
  </si>
  <si>
    <t>rti.60</t>
  </si>
  <si>
    <t>rti.61</t>
  </si>
  <si>
    <t>rti.62</t>
  </si>
  <si>
    <t>rti.63</t>
  </si>
  <si>
    <t>rti.64</t>
  </si>
  <si>
    <t>rti.65</t>
  </si>
  <si>
    <t>rti.66</t>
  </si>
  <si>
    <t>rti.67</t>
  </si>
  <si>
    <t>rti.68</t>
  </si>
  <si>
    <t>rti.69</t>
  </si>
  <si>
    <t>rti.70</t>
  </si>
  <si>
    <t>te</t>
  </si>
  <si>
    <t xml:space="preserve"> probability to become Atrophy hp(+) when Gastritis hp(+), MULTIPLICAR por 5.2</t>
  </si>
  <si>
    <t xml:space="preserve"> probability to become stage 1 preclinical when Dysplasia (+) --&gt; Es distinta esta probabilidad con HP +?  Tomado de Akrabi 2029 y transformado al 60%, respecto a la general</t>
  </si>
  <si>
    <t xml:space="preserve"> probability to become stage 1 preclinical when Dysplasia (-); tomado de Akrabi 2019 y transformado al 40%, respecto a la general</t>
  </si>
  <si>
    <t xml:space="preserve"> probability to become Intestinal Metaplasia hp(+) when Dysplasia hp(+). REVISAR ESTA PROBABILIDAD DE REGRESIÓN, ES MENOS QUE LOS HP - </t>
  </si>
  <si>
    <t xml:space="preserve"> probability to become Dysplasia hp(-) when Intestinal Metaplasia hp(-) LS huang</t>
  </si>
  <si>
    <t xml:space="preserve"> probability to become Atrophy hp(+) when Gastritis hp(+)</t>
  </si>
  <si>
    <t xml:space="preserve"> probability to become stage 2 preclinical when stage 1 preclinical --&gt; Huang 2020, valor medio 0.122-0.26</t>
  </si>
  <si>
    <t xml:space="preserve"> probability to become stage 3 preclinical when stage 2 preclinical --&gt; Huang 2020, límite valor medio 0.122-0.26</t>
  </si>
  <si>
    <t>limites</t>
  </si>
  <si>
    <t>0.002 (ecos) - 0.03 (huang)</t>
  </si>
  <si>
    <t>Efectividad tratamiento de erradicación de H pylroi. From Riquelme, A.</t>
  </si>
  <si>
    <t>d.r</t>
  </si>
  <si>
    <t>equal discount of costs and QALYs by 3%</t>
  </si>
  <si>
    <t xml:space="preserve">usage </t>
  </si>
  <si>
    <t>c.PSEDA</t>
  </si>
  <si>
    <t>p.ID</t>
  </si>
  <si>
    <t>p.D1p</t>
  </si>
  <si>
    <t xml:space="preserve"> probability to become stage 1 preclinical when Dysplasia</t>
  </si>
  <si>
    <t xml:space="preserve"> probability to become Intestinal Metaplasia when Atrophy </t>
  </si>
  <si>
    <t xml:space="preserve"> probability to become Dysplasia when Intestinal Metaplasia</t>
  </si>
  <si>
    <t>p.AI</t>
  </si>
  <si>
    <t>rti.71</t>
  </si>
  <si>
    <t>rti.72</t>
  </si>
  <si>
    <t>rti.73</t>
  </si>
  <si>
    <t>rti.74</t>
  </si>
  <si>
    <t>rti.75</t>
  </si>
  <si>
    <t>rti.76</t>
  </si>
  <si>
    <t>rti.77</t>
  </si>
  <si>
    <t>rti.78</t>
  </si>
  <si>
    <t>rti.79</t>
  </si>
  <si>
    <t>rti.80</t>
  </si>
  <si>
    <t>rti.81</t>
  </si>
  <si>
    <t>rti.82</t>
  </si>
  <si>
    <t>age_start</t>
  </si>
  <si>
    <t>start of the cohort</t>
  </si>
  <si>
    <t>age at baseline (analysis)</t>
  </si>
  <si>
    <t>burn_in</t>
  </si>
  <si>
    <t>number of cycles of burn in</t>
  </si>
  <si>
    <t>Esta hoja era la previa a las probs de transicon que se usa,</t>
  </si>
  <si>
    <t>El cambio fue dejar las probabilidades de regresion en 0</t>
  </si>
  <si>
    <t>probability to become normal when stage  3 clinical</t>
  </si>
  <si>
    <t>(0.006073323852 + 0.01440931621)/2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</si>
</sst>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6" x14ac:knownFonts="1">
    <font>
      <sz val="12"/>
      <color theme="1"/>
      <name val="Aptos Narrow"/>
      <family val="2"/>
      <scheme val="minor"/>
    </font>
    <font>
      <sz val="12"/>
      <color rgb="FF000000"/>
      <name val="Aptos Narrow"/>
      <family val="2"/>
      <scheme val="minor"/>
    </font>
    <font>
      <sz val="11"/>
      <color rgb="FF000000"/>
      <name val="Calibri"/>
      <family val="2"/>
    </font>
    <font>
      <sz val="8"/>
      <name val="Aptos Narrow"/>
      <family val="2"/>
      <scheme val="minor"/>
    </font>
    <font>
      <sz val="11"/>
      <color theme="1"/>
      <name val="Calibri"/>
      <family val="2"/>
    </font>
    <font>
      <b/>
      <sz val="11"/>
      <color theme="1"/>
      <name val="Calibri"/>
      <family val="2"/>
    </font>
  </fonts>
  <fills count="7">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rgb="FFFFC000"/>
        <bgColor indexed="64"/>
      </patternFill>
    </fill>
    <fill>
      <patternFill patternType="solid">
        <fgColor theme="9" tint="0.59999389629810485"/>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16">
    <xf numFmtId="0" fontId="0" fillId="0" borderId="0" xfId="0"/>
    <xf numFmtId="3" fontId="0" fillId="0" borderId="0" xfId="0" applyNumberFormat="1"/>
    <xf numFmtId="0" fontId="1" fillId="0" borderId="0" xfId="0" applyFont="1"/>
    <xf numFmtId="1" fontId="0" fillId="0" borderId="0" xfId="0" applyNumberFormat="1"/>
    <xf numFmtId="0" fontId="0" fillId="0" borderId="0" xfId="0" applyAlignment="1">
      <alignment horizontal="center"/>
    </xf>
    <xf numFmtId="0" fontId="0" fillId="0" borderId="0" xfId="0" applyAlignment="1">
      <alignment horizontal="left"/>
    </xf>
    <xf numFmtId="0" fontId="0" fillId="2" borderId="0" xfId="0" applyFill="1"/>
    <xf numFmtId="0" fontId="0" fillId="3" borderId="0" xfId="0" applyFill="1"/>
    <xf numFmtId="164" fontId="0" fillId="2" borderId="0" xfId="0" applyNumberFormat="1" applyFill="1"/>
    <xf numFmtId="0" fontId="2" fillId="0" borderId="0" xfId="0" applyFont="1"/>
    <xf numFmtId="0" fontId="2" fillId="0" borderId="0" xfId="0" applyFont="1" applyAlignment="1">
      <alignment horizontal="center"/>
    </xf>
    <xf numFmtId="0" fontId="0" fillId="4" borderId="0" xfId="0" applyFill="1"/>
    <xf numFmtId="0" fontId="0" fillId="5" borderId="0" xfId="0" applyFill="1"/>
    <xf numFmtId="0" fontId="0" fillId="6" borderId="0" xfId="0" applyFill="1"/>
    <xf numFmtId="0" fontId="5"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persons/person.xml><?xml version="1.0" encoding="utf-8"?>
<personList xmlns="http://schemas.microsoft.com/office/spreadsheetml/2018/threadedcomments" xmlns:x="http://schemas.openxmlformats.org/spreadsheetml/2006/main">
  <person displayName="Cristian Flores Peñailillo (criflores)" id="{B984E836-038F-864C-875D-F312D530DE48}" userId="S::criflores@uchile.cl::8306feea-231d-4e9a-867d-e7c52dfeb0e4"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3" dT="2026-01-28T20:58:32.22" personId="{B984E836-038F-864C-875D-F312D530DE48}" id="{6F562A65-8B20-3D43-A2CF-B5957A720EAB}">
    <text>PARA CADA UNO DE LOS ESTADIOS, HAY UN VECTOR DE COSTOS DETEMRINISTIC (COLUMNA B). PARA EL ANALISIS PROB, PARA CADA ESTADIO, SEGÚN UNA DISTIB GAMMA HABRA LOS PARARAMIETR DE LA DISTIBUCIÓN PARA CADA COSTO. EN COLUMNA D Y E,  SERAN LOS PATÁMETROS DE CADA COSTO EN ESE ESARDIO</text>
  </threadedComment>
</ThreadedComment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60064-A056-554B-A359-C375F95091E2}">
  <dimension ref="A1:D7"/>
  <sheetViews>
    <sheetView topLeftCell="A2" zoomScale="228" workbookViewId="0">
      <selection activeCell="A11" sqref="A11"/>
    </sheetView>
  </sheetViews>
  <sheetFormatPr baseColWidth="10" defaultRowHeight="16" x14ac:dyDescent="0.2"/>
  <cols>
    <col min="1" max="1" width="15.33203125" customWidth="1"/>
    <col min="3" max="3" width="34.5" customWidth="1"/>
  </cols>
  <sheetData>
    <row r="1" spans="1:4" x14ac:dyDescent="0.2">
      <c r="A1" t="s">
        <v>603</v>
      </c>
      <c r="B1" t="s">
        <v>1055</v>
      </c>
      <c r="C1" t="s">
        <v>557</v>
      </c>
      <c r="D1" t="s">
        <v>1056</v>
      </c>
    </row>
    <row r="2" spans="1:4" x14ac:dyDescent="0.2">
      <c r="A2" t="s">
        <v>546</v>
      </c>
      <c r="B2">
        <v>30</v>
      </c>
      <c r="C2" t="s">
        <v>1228</v>
      </c>
      <c r="D2" t="s">
        <v>1057</v>
      </c>
    </row>
    <row r="3" spans="1:4" x14ac:dyDescent="0.2">
      <c r="A3" t="s">
        <v>547</v>
      </c>
      <c r="B3">
        <v>100</v>
      </c>
      <c r="C3" t="s">
        <v>548</v>
      </c>
      <c r="D3" t="s">
        <v>1057</v>
      </c>
    </row>
    <row r="4" spans="1:4" x14ac:dyDescent="0.2">
      <c r="A4" t="s">
        <v>604</v>
      </c>
      <c r="B4">
        <v>1</v>
      </c>
      <c r="C4" t="s">
        <v>549</v>
      </c>
      <c r="D4" t="s">
        <v>1057</v>
      </c>
    </row>
    <row r="5" spans="1:4" x14ac:dyDescent="0.2">
      <c r="A5" t="s">
        <v>607</v>
      </c>
      <c r="B5">
        <v>10000</v>
      </c>
      <c r="C5" t="s">
        <v>608</v>
      </c>
      <c r="D5" t="s">
        <v>1057</v>
      </c>
    </row>
    <row r="6" spans="1:4" x14ac:dyDescent="0.2">
      <c r="A6" t="s">
        <v>1226</v>
      </c>
      <c r="B6">
        <v>18</v>
      </c>
      <c r="C6" t="s">
        <v>1227</v>
      </c>
      <c r="D6" t="s">
        <v>1057</v>
      </c>
    </row>
    <row r="7" spans="1:4" x14ac:dyDescent="0.2">
      <c r="A7" t="s">
        <v>1229</v>
      </c>
      <c r="B7">
        <v>12</v>
      </c>
      <c r="C7" t="s">
        <v>1230</v>
      </c>
      <c r="D7" t="s">
        <v>1057</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92917-F3BF-3542-90B6-044053C956DE}">
  <dimension ref="A1:C7"/>
  <sheetViews>
    <sheetView zoomScale="219" workbookViewId="0">
      <selection activeCell="E24" sqref="E24"/>
    </sheetView>
  </sheetViews>
  <sheetFormatPr baseColWidth="10" defaultRowHeight="16" x14ac:dyDescent="0.2"/>
  <cols>
    <col min="1" max="1" width="23.83203125" customWidth="1"/>
    <col min="2" max="2" width="26.1640625" customWidth="1"/>
  </cols>
  <sheetData>
    <row r="1" spans="1:3" x14ac:dyDescent="0.2">
      <c r="A1" t="s">
        <v>550</v>
      </c>
      <c r="B1" t="s">
        <v>557</v>
      </c>
      <c r="C1" t="s">
        <v>1056</v>
      </c>
    </row>
    <row r="2" spans="1:3" x14ac:dyDescent="0.2">
      <c r="A2" s="2" t="s">
        <v>551</v>
      </c>
      <c r="C2" t="s">
        <v>1057</v>
      </c>
    </row>
    <row r="3" spans="1:3" x14ac:dyDescent="0.2">
      <c r="A3" s="2" t="s">
        <v>552</v>
      </c>
      <c r="C3" t="s">
        <v>1057</v>
      </c>
    </row>
    <row r="4" spans="1:3" x14ac:dyDescent="0.2">
      <c r="A4" s="2" t="s">
        <v>553</v>
      </c>
      <c r="C4" t="s">
        <v>1057</v>
      </c>
    </row>
    <row r="5" spans="1:3" x14ac:dyDescent="0.2">
      <c r="A5" s="2" t="s">
        <v>554</v>
      </c>
      <c r="C5" t="s">
        <v>1057</v>
      </c>
    </row>
    <row r="6" spans="1:3" x14ac:dyDescent="0.2">
      <c r="A6" s="2" t="s">
        <v>555</v>
      </c>
      <c r="C6" t="s">
        <v>1057</v>
      </c>
    </row>
    <row r="7" spans="1:3" x14ac:dyDescent="0.2">
      <c r="A7" s="2" t="s">
        <v>556</v>
      </c>
      <c r="C7" t="s">
        <v>1057</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EE67A-5D12-BE4C-A27F-EC710FE3CD47}">
  <dimension ref="A1:C40"/>
  <sheetViews>
    <sheetView topLeftCell="A22" zoomScale="209" workbookViewId="0">
      <selection activeCell="A10" sqref="A10"/>
    </sheetView>
  </sheetViews>
  <sheetFormatPr baseColWidth="10" defaultRowHeight="16" x14ac:dyDescent="0.2"/>
  <cols>
    <col min="1" max="1" width="19.33203125" customWidth="1"/>
    <col min="2" max="2" width="23.1640625" customWidth="1"/>
  </cols>
  <sheetData>
    <row r="1" spans="1:3" x14ac:dyDescent="0.2">
      <c r="A1" t="s">
        <v>558</v>
      </c>
      <c r="B1" t="s">
        <v>557</v>
      </c>
      <c r="C1" t="s">
        <v>1056</v>
      </c>
    </row>
    <row r="2" spans="1:3" x14ac:dyDescent="0.2">
      <c r="A2" t="s">
        <v>559</v>
      </c>
      <c r="C2" t="s">
        <v>1057</v>
      </c>
    </row>
    <row r="3" spans="1:3" x14ac:dyDescent="0.2">
      <c r="A3" t="s">
        <v>560</v>
      </c>
      <c r="C3" t="s">
        <v>1057</v>
      </c>
    </row>
    <row r="4" spans="1:3" x14ac:dyDescent="0.2">
      <c r="A4" t="s">
        <v>561</v>
      </c>
      <c r="C4" t="s">
        <v>1057</v>
      </c>
    </row>
    <row r="5" spans="1:3" x14ac:dyDescent="0.2">
      <c r="A5" t="s">
        <v>562</v>
      </c>
      <c r="C5" t="s">
        <v>1057</v>
      </c>
    </row>
    <row r="6" spans="1:3" x14ac:dyDescent="0.2">
      <c r="A6" t="s">
        <v>563</v>
      </c>
      <c r="C6" t="s">
        <v>1057</v>
      </c>
    </row>
    <row r="7" spans="1:3" x14ac:dyDescent="0.2">
      <c r="A7" t="s">
        <v>564</v>
      </c>
      <c r="C7" t="s">
        <v>1057</v>
      </c>
    </row>
    <row r="8" spans="1:3" x14ac:dyDescent="0.2">
      <c r="A8" t="s">
        <v>565</v>
      </c>
      <c r="C8" t="s">
        <v>1057</v>
      </c>
    </row>
    <row r="9" spans="1:3" x14ac:dyDescent="0.2">
      <c r="A9" t="s">
        <v>566</v>
      </c>
      <c r="C9" t="s">
        <v>1057</v>
      </c>
    </row>
    <row r="10" spans="1:3" x14ac:dyDescent="0.2">
      <c r="A10" t="s">
        <v>567</v>
      </c>
      <c r="C10" t="s">
        <v>1057</v>
      </c>
    </row>
    <row r="11" spans="1:3" x14ac:dyDescent="0.2">
      <c r="A11" t="s">
        <v>568</v>
      </c>
      <c r="C11" t="s">
        <v>1057</v>
      </c>
    </row>
    <row r="12" spans="1:3" x14ac:dyDescent="0.2">
      <c r="A12" t="s">
        <v>569</v>
      </c>
      <c r="C12" t="s">
        <v>1057</v>
      </c>
    </row>
    <row r="13" spans="1:3" x14ac:dyDescent="0.2">
      <c r="A13" t="s">
        <v>570</v>
      </c>
      <c r="C13" t="s">
        <v>1057</v>
      </c>
    </row>
    <row r="14" spans="1:3" x14ac:dyDescent="0.2">
      <c r="A14" t="s">
        <v>571</v>
      </c>
      <c r="C14" t="s">
        <v>1057</v>
      </c>
    </row>
    <row r="15" spans="1:3" x14ac:dyDescent="0.2">
      <c r="A15" t="s">
        <v>572</v>
      </c>
      <c r="C15" t="s">
        <v>1057</v>
      </c>
    </row>
    <row r="16" spans="1:3" x14ac:dyDescent="0.2">
      <c r="A16" t="s">
        <v>573</v>
      </c>
      <c r="C16" t="s">
        <v>1057</v>
      </c>
    </row>
    <row r="17" spans="1:3" x14ac:dyDescent="0.2">
      <c r="A17" t="s">
        <v>574</v>
      </c>
      <c r="C17" t="s">
        <v>1057</v>
      </c>
    </row>
    <row r="18" spans="1:3" x14ac:dyDescent="0.2">
      <c r="A18" t="s">
        <v>575</v>
      </c>
      <c r="C18" t="s">
        <v>1057</v>
      </c>
    </row>
    <row r="19" spans="1:3" x14ac:dyDescent="0.2">
      <c r="A19" t="s">
        <v>576</v>
      </c>
      <c r="C19" t="s">
        <v>1057</v>
      </c>
    </row>
    <row r="20" spans="1:3" x14ac:dyDescent="0.2">
      <c r="A20" t="s">
        <v>577</v>
      </c>
      <c r="C20" t="s">
        <v>1057</v>
      </c>
    </row>
    <row r="21" spans="1:3" x14ac:dyDescent="0.2">
      <c r="A21" t="s">
        <v>578</v>
      </c>
      <c r="C21" t="s">
        <v>1057</v>
      </c>
    </row>
    <row r="22" spans="1:3" x14ac:dyDescent="0.2">
      <c r="A22" t="s">
        <v>579</v>
      </c>
      <c r="C22" t="s">
        <v>1057</v>
      </c>
    </row>
    <row r="23" spans="1:3" x14ac:dyDescent="0.2">
      <c r="A23" t="s">
        <v>580</v>
      </c>
      <c r="C23" t="s">
        <v>1057</v>
      </c>
    </row>
    <row r="24" spans="1:3" x14ac:dyDescent="0.2">
      <c r="A24" t="s">
        <v>581</v>
      </c>
      <c r="C24" t="s">
        <v>1057</v>
      </c>
    </row>
    <row r="25" spans="1:3" x14ac:dyDescent="0.2">
      <c r="A25" t="s">
        <v>582</v>
      </c>
      <c r="C25" t="s">
        <v>1057</v>
      </c>
    </row>
    <row r="26" spans="1:3" x14ac:dyDescent="0.2">
      <c r="A26" t="s">
        <v>583</v>
      </c>
      <c r="C26" t="s">
        <v>1057</v>
      </c>
    </row>
    <row r="27" spans="1:3" x14ac:dyDescent="0.2">
      <c r="A27" t="s">
        <v>584</v>
      </c>
      <c r="C27" t="s">
        <v>1057</v>
      </c>
    </row>
    <row r="28" spans="1:3" x14ac:dyDescent="0.2">
      <c r="A28" t="s">
        <v>585</v>
      </c>
      <c r="C28" t="s">
        <v>1057</v>
      </c>
    </row>
    <row r="29" spans="1:3" x14ac:dyDescent="0.2">
      <c r="A29" t="s">
        <v>586</v>
      </c>
      <c r="C29" t="s">
        <v>1057</v>
      </c>
    </row>
    <row r="30" spans="1:3" x14ac:dyDescent="0.2">
      <c r="A30" t="s">
        <v>587</v>
      </c>
      <c r="C30" t="s">
        <v>1057</v>
      </c>
    </row>
    <row r="31" spans="1:3" x14ac:dyDescent="0.2">
      <c r="A31" t="s">
        <v>588</v>
      </c>
      <c r="C31" t="s">
        <v>1057</v>
      </c>
    </row>
    <row r="32" spans="1:3" x14ac:dyDescent="0.2">
      <c r="A32" t="s">
        <v>589</v>
      </c>
      <c r="C32" t="s">
        <v>1057</v>
      </c>
    </row>
    <row r="33" spans="1:3" x14ac:dyDescent="0.2">
      <c r="A33" t="s">
        <v>590</v>
      </c>
      <c r="C33" t="s">
        <v>1057</v>
      </c>
    </row>
    <row r="34" spans="1:3" x14ac:dyDescent="0.2">
      <c r="A34" t="s">
        <v>591</v>
      </c>
      <c r="C34" t="s">
        <v>1057</v>
      </c>
    </row>
    <row r="35" spans="1:3" x14ac:dyDescent="0.2">
      <c r="A35" t="s">
        <v>592</v>
      </c>
      <c r="C35" t="s">
        <v>1057</v>
      </c>
    </row>
    <row r="36" spans="1:3" x14ac:dyDescent="0.2">
      <c r="A36" t="s">
        <v>593</v>
      </c>
      <c r="C36" t="s">
        <v>1057</v>
      </c>
    </row>
    <row r="37" spans="1:3" x14ac:dyDescent="0.2">
      <c r="A37" t="s">
        <v>594</v>
      </c>
      <c r="C37" t="s">
        <v>1057</v>
      </c>
    </row>
    <row r="38" spans="1:3" x14ac:dyDescent="0.2">
      <c r="A38" t="s">
        <v>595</v>
      </c>
      <c r="C38" t="s">
        <v>1057</v>
      </c>
    </row>
    <row r="39" spans="1:3" x14ac:dyDescent="0.2">
      <c r="A39" t="s">
        <v>596</v>
      </c>
      <c r="C39" t="s">
        <v>1057</v>
      </c>
    </row>
    <row r="40" spans="1:3" x14ac:dyDescent="0.2">
      <c r="A40" t="s">
        <v>597</v>
      </c>
      <c r="C40" t="s">
        <v>1057</v>
      </c>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3716D-943C-CC4A-AF60-CD6394A786FB}">
  <dimension ref="A1:J84"/>
  <sheetViews>
    <sheetView zoomScale="164" workbookViewId="0">
      <selection activeCell="H8" sqref="H8"/>
    </sheetView>
  </sheetViews>
  <sheetFormatPr baseColWidth="10" defaultRowHeight="16" x14ac:dyDescent="0.2"/>
  <cols>
    <col min="1" max="1" width="13" customWidth="1"/>
    <col min="2" max="3" width="12.6640625" customWidth="1"/>
    <col min="4" max="4" width="14.6640625" customWidth="1"/>
  </cols>
  <sheetData>
    <row r="1" spans="1:10" x14ac:dyDescent="0.2">
      <c r="A1" s="10" t="s">
        <v>546</v>
      </c>
      <c r="B1" s="10" t="s">
        <v>1128</v>
      </c>
      <c r="C1" s="10" t="s">
        <v>603</v>
      </c>
      <c r="D1" s="10" t="s">
        <v>1055</v>
      </c>
      <c r="E1" s="10" t="s">
        <v>1056</v>
      </c>
    </row>
    <row r="2" spans="1:10" x14ac:dyDescent="0.2">
      <c r="A2" s="15">
        <v>18</v>
      </c>
      <c r="B2" s="15">
        <v>0.15</v>
      </c>
      <c r="C2" s="9" t="s">
        <v>1069</v>
      </c>
      <c r="D2" s="15">
        <v>1.632171</v>
      </c>
      <c r="E2" t="s">
        <v>1057</v>
      </c>
      <c r="H2" s="14"/>
      <c r="I2" s="14"/>
      <c r="J2" s="14"/>
    </row>
    <row r="3" spans="1:10" x14ac:dyDescent="0.2">
      <c r="A3" s="15">
        <v>19</v>
      </c>
      <c r="B3" s="15">
        <v>0.15</v>
      </c>
      <c r="C3" s="9" t="s">
        <v>1070</v>
      </c>
      <c r="D3" s="15">
        <v>1.6882440000000001</v>
      </c>
      <c r="E3" t="s">
        <v>1057</v>
      </c>
      <c r="H3" s="15"/>
      <c r="I3" s="15"/>
      <c r="J3" s="15"/>
    </row>
    <row r="4" spans="1:10" x14ac:dyDescent="0.2">
      <c r="A4" s="15">
        <v>20</v>
      </c>
      <c r="B4" s="15">
        <v>0.3</v>
      </c>
      <c r="C4" s="9" t="s">
        <v>1071</v>
      </c>
      <c r="D4" s="15">
        <v>1.746243</v>
      </c>
      <c r="E4" t="s">
        <v>1057</v>
      </c>
      <c r="H4" s="15"/>
      <c r="I4" s="15"/>
      <c r="J4" s="15"/>
    </row>
    <row r="5" spans="1:10" x14ac:dyDescent="0.2">
      <c r="A5" s="15">
        <v>21</v>
      </c>
      <c r="B5" s="15">
        <v>0.3</v>
      </c>
      <c r="C5" s="9" t="s">
        <v>1072</v>
      </c>
      <c r="D5" s="15">
        <v>1.8062339999999999</v>
      </c>
      <c r="E5" t="s">
        <v>1057</v>
      </c>
      <c r="H5" s="15"/>
      <c r="I5" s="15"/>
      <c r="J5" s="15"/>
    </row>
    <row r="6" spans="1:10" x14ac:dyDescent="0.2">
      <c r="A6" s="15">
        <v>22</v>
      </c>
      <c r="B6" s="15">
        <v>0.3</v>
      </c>
      <c r="C6" s="9" t="s">
        <v>1073</v>
      </c>
      <c r="D6" s="15">
        <v>1.868287</v>
      </c>
      <c r="E6" t="s">
        <v>1057</v>
      </c>
      <c r="H6" s="15"/>
      <c r="I6" s="15"/>
      <c r="J6" s="15"/>
    </row>
    <row r="7" spans="1:10" x14ac:dyDescent="0.2">
      <c r="A7" s="15">
        <v>23</v>
      </c>
      <c r="B7" s="15">
        <v>0.3</v>
      </c>
      <c r="C7" s="9" t="s">
        <v>1074</v>
      </c>
      <c r="D7" s="15">
        <v>1.932472</v>
      </c>
      <c r="E7" t="s">
        <v>1057</v>
      </c>
      <c r="H7" s="15"/>
      <c r="I7" s="15"/>
      <c r="J7" s="15"/>
    </row>
    <row r="8" spans="1:10" x14ac:dyDescent="0.2">
      <c r="A8" s="15">
        <v>24</v>
      </c>
      <c r="B8" s="15">
        <v>0.3</v>
      </c>
      <c r="C8" s="9" t="s">
        <v>1075</v>
      </c>
      <c r="D8" s="15">
        <v>1.998861</v>
      </c>
      <c r="E8" t="s">
        <v>1057</v>
      </c>
      <c r="H8" s="15"/>
      <c r="I8" s="15"/>
      <c r="J8" s="15"/>
    </row>
    <row r="9" spans="1:10" x14ac:dyDescent="0.2">
      <c r="A9" s="15">
        <v>25</v>
      </c>
      <c r="B9" s="15">
        <v>0.3</v>
      </c>
      <c r="C9" s="9" t="s">
        <v>1129</v>
      </c>
      <c r="D9" s="15">
        <v>2.0675319999999999</v>
      </c>
      <c r="E9" t="s">
        <v>1057</v>
      </c>
      <c r="H9" s="15"/>
      <c r="I9" s="15"/>
      <c r="J9" s="15"/>
    </row>
    <row r="10" spans="1:10" x14ac:dyDescent="0.2">
      <c r="A10" s="15">
        <v>26</v>
      </c>
      <c r="B10" s="15">
        <v>0.3</v>
      </c>
      <c r="C10" s="9" t="s">
        <v>1130</v>
      </c>
      <c r="D10" s="15">
        <v>2.1385610000000002</v>
      </c>
      <c r="E10" t="s">
        <v>1057</v>
      </c>
      <c r="H10" s="15"/>
      <c r="I10" s="15"/>
      <c r="J10" s="15"/>
    </row>
    <row r="11" spans="1:10" x14ac:dyDescent="0.2">
      <c r="A11" s="15">
        <v>27</v>
      </c>
      <c r="B11" s="15">
        <v>0.3</v>
      </c>
      <c r="C11" s="9" t="s">
        <v>1131</v>
      </c>
      <c r="D11" s="15">
        <v>2.2120310000000001</v>
      </c>
      <c r="E11" t="s">
        <v>1057</v>
      </c>
      <c r="H11" s="15"/>
      <c r="I11" s="15"/>
      <c r="J11" s="15"/>
    </row>
    <row r="12" spans="1:10" x14ac:dyDescent="0.2">
      <c r="A12" s="15">
        <v>28</v>
      </c>
      <c r="B12" s="15">
        <v>0.3</v>
      </c>
      <c r="C12" s="9" t="s">
        <v>1132</v>
      </c>
      <c r="D12" s="15">
        <v>2.2880250000000002</v>
      </c>
      <c r="E12" t="s">
        <v>1057</v>
      </c>
      <c r="H12" s="15"/>
      <c r="I12" s="15"/>
      <c r="J12" s="15"/>
    </row>
    <row r="13" spans="1:10" x14ac:dyDescent="0.2">
      <c r="A13" s="15">
        <v>29</v>
      </c>
      <c r="B13" s="15">
        <v>0.3</v>
      </c>
      <c r="C13" s="9" t="s">
        <v>1133</v>
      </c>
      <c r="D13" s="15">
        <v>2.3666290000000001</v>
      </c>
      <c r="E13" t="s">
        <v>1057</v>
      </c>
      <c r="H13" s="15"/>
      <c r="I13" s="15"/>
      <c r="J13" s="15"/>
    </row>
    <row r="14" spans="1:10" x14ac:dyDescent="0.2">
      <c r="A14" s="15">
        <v>30</v>
      </c>
      <c r="B14" s="15">
        <v>0.3</v>
      </c>
      <c r="C14" s="9" t="s">
        <v>1134</v>
      </c>
      <c r="D14" s="15">
        <v>2.4479340000000001</v>
      </c>
      <c r="E14" t="s">
        <v>1057</v>
      </c>
      <c r="H14" s="15"/>
      <c r="I14" s="15"/>
      <c r="J14" s="15"/>
    </row>
    <row r="15" spans="1:10" x14ac:dyDescent="0.2">
      <c r="A15" s="15">
        <v>31</v>
      </c>
      <c r="B15" s="15">
        <v>0.3</v>
      </c>
      <c r="C15" s="9" t="s">
        <v>1135</v>
      </c>
      <c r="D15" s="15">
        <v>2.5320320000000001</v>
      </c>
      <c r="E15" t="s">
        <v>1057</v>
      </c>
      <c r="H15" s="15"/>
      <c r="I15" s="15"/>
      <c r="J15" s="15"/>
    </row>
    <row r="16" spans="1:10" x14ac:dyDescent="0.2">
      <c r="A16" s="15">
        <v>32</v>
      </c>
      <c r="B16" s="15">
        <v>0.3</v>
      </c>
      <c r="C16" s="9" t="s">
        <v>1136</v>
      </c>
      <c r="D16" s="15">
        <v>2.6190190000000002</v>
      </c>
      <c r="E16" t="s">
        <v>1057</v>
      </c>
      <c r="H16" s="15"/>
      <c r="I16" s="15"/>
      <c r="J16" s="15"/>
    </row>
    <row r="17" spans="1:10" x14ac:dyDescent="0.2">
      <c r="A17" s="15">
        <v>33</v>
      </c>
      <c r="B17" s="15">
        <v>0.3</v>
      </c>
      <c r="C17" s="9" t="s">
        <v>1137</v>
      </c>
      <c r="D17" s="15">
        <v>2.7089949999999998</v>
      </c>
      <c r="E17" t="s">
        <v>1057</v>
      </c>
      <c r="H17" s="15"/>
      <c r="I17" s="15"/>
      <c r="J17" s="15"/>
    </row>
    <row r="18" spans="1:10" x14ac:dyDescent="0.2">
      <c r="A18" s="15">
        <v>34</v>
      </c>
      <c r="B18" s="15">
        <v>0.3</v>
      </c>
      <c r="C18" s="9" t="s">
        <v>1138</v>
      </c>
      <c r="D18" s="15">
        <v>2.8020619999999998</v>
      </c>
      <c r="E18" t="s">
        <v>1057</v>
      </c>
      <c r="H18" s="15"/>
      <c r="I18" s="15"/>
      <c r="J18" s="15"/>
    </row>
    <row r="19" spans="1:10" x14ac:dyDescent="0.2">
      <c r="A19" s="15">
        <v>35</v>
      </c>
      <c r="B19" s="15">
        <v>1</v>
      </c>
      <c r="C19" s="9" t="s">
        <v>1139</v>
      </c>
      <c r="D19" s="15">
        <v>2.898326</v>
      </c>
      <c r="E19" t="s">
        <v>1057</v>
      </c>
      <c r="H19" s="15"/>
      <c r="I19" s="15"/>
      <c r="J19" s="15"/>
    </row>
    <row r="20" spans="1:10" x14ac:dyDescent="0.2">
      <c r="A20" s="15">
        <v>36</v>
      </c>
      <c r="B20" s="15">
        <v>1</v>
      </c>
      <c r="C20" s="9" t="s">
        <v>1140</v>
      </c>
      <c r="D20" s="15">
        <v>2.997897</v>
      </c>
      <c r="E20" t="s">
        <v>1057</v>
      </c>
      <c r="H20" s="15"/>
      <c r="I20" s="15"/>
      <c r="J20" s="15"/>
    </row>
    <row r="21" spans="1:10" x14ac:dyDescent="0.2">
      <c r="A21" s="15">
        <v>37</v>
      </c>
      <c r="B21" s="15">
        <v>1</v>
      </c>
      <c r="C21" s="9" t="s">
        <v>1141</v>
      </c>
      <c r="D21" s="15">
        <v>3.100889</v>
      </c>
      <c r="E21" t="s">
        <v>1057</v>
      </c>
      <c r="H21" s="15"/>
      <c r="I21" s="15"/>
      <c r="J21" s="15"/>
    </row>
    <row r="22" spans="1:10" x14ac:dyDescent="0.2">
      <c r="A22" s="15">
        <v>38</v>
      </c>
      <c r="B22" s="15">
        <v>1</v>
      </c>
      <c r="C22" s="9" t="s">
        <v>1142</v>
      </c>
      <c r="D22" s="15">
        <v>3.2074199999999999</v>
      </c>
      <c r="E22" t="s">
        <v>1057</v>
      </c>
      <c r="H22" s="15"/>
      <c r="I22" s="15"/>
      <c r="J22" s="15"/>
    </row>
    <row r="23" spans="1:10" x14ac:dyDescent="0.2">
      <c r="A23" s="15">
        <v>39</v>
      </c>
      <c r="B23" s="15">
        <v>1</v>
      </c>
      <c r="C23" s="9" t="s">
        <v>1143</v>
      </c>
      <c r="D23" s="15">
        <v>3.3176100000000002</v>
      </c>
      <c r="E23" t="s">
        <v>1057</v>
      </c>
      <c r="H23" s="15"/>
      <c r="I23" s="15"/>
      <c r="J23" s="15"/>
    </row>
    <row r="24" spans="1:10" x14ac:dyDescent="0.2">
      <c r="A24" s="15">
        <v>40</v>
      </c>
      <c r="B24" s="15">
        <v>1</v>
      </c>
      <c r="C24" s="9" t="s">
        <v>1144</v>
      </c>
      <c r="D24" s="15">
        <v>3.4315850000000001</v>
      </c>
      <c r="E24" t="s">
        <v>1057</v>
      </c>
      <c r="H24" s="15"/>
      <c r="I24" s="15"/>
      <c r="J24" s="15"/>
    </row>
    <row r="25" spans="1:10" x14ac:dyDescent="0.2">
      <c r="A25" s="15">
        <v>41</v>
      </c>
      <c r="B25" s="15">
        <v>1</v>
      </c>
      <c r="C25" s="9" t="s">
        <v>1145</v>
      </c>
      <c r="D25" s="15">
        <v>3.549477</v>
      </c>
      <c r="E25" t="s">
        <v>1057</v>
      </c>
      <c r="H25" s="15"/>
      <c r="I25" s="15"/>
      <c r="J25" s="15"/>
    </row>
    <row r="26" spans="1:10" x14ac:dyDescent="0.2">
      <c r="A26" s="15">
        <v>42</v>
      </c>
      <c r="B26" s="15">
        <v>1</v>
      </c>
      <c r="C26" s="9" t="s">
        <v>1146</v>
      </c>
      <c r="D26" s="15">
        <v>3.6714180000000001</v>
      </c>
      <c r="E26" t="s">
        <v>1057</v>
      </c>
      <c r="H26" s="15"/>
      <c r="I26" s="15"/>
      <c r="J26" s="15"/>
    </row>
    <row r="27" spans="1:10" x14ac:dyDescent="0.2">
      <c r="A27" s="15">
        <v>43</v>
      </c>
      <c r="B27" s="15">
        <v>1</v>
      </c>
      <c r="C27" s="9" t="s">
        <v>1147</v>
      </c>
      <c r="D27" s="15">
        <v>3.7975490000000001</v>
      </c>
      <c r="E27" t="s">
        <v>1057</v>
      </c>
      <c r="H27" s="15"/>
      <c r="I27" s="15"/>
      <c r="J27" s="15"/>
    </row>
    <row r="28" spans="1:10" x14ac:dyDescent="0.2">
      <c r="A28" s="15">
        <v>44</v>
      </c>
      <c r="B28" s="15">
        <v>1</v>
      </c>
      <c r="C28" s="9" t="s">
        <v>1148</v>
      </c>
      <c r="D28" s="15">
        <v>3.9280119999999998</v>
      </c>
      <c r="E28" t="s">
        <v>1057</v>
      </c>
      <c r="H28" s="15"/>
      <c r="I28" s="15"/>
      <c r="J28" s="15"/>
    </row>
    <row r="29" spans="1:10" x14ac:dyDescent="0.2">
      <c r="A29" s="15">
        <v>45</v>
      </c>
      <c r="B29" s="15">
        <v>3.48</v>
      </c>
      <c r="C29" s="9" t="s">
        <v>1149</v>
      </c>
      <c r="D29" s="15">
        <v>4.0629580000000001</v>
      </c>
      <c r="E29" t="s">
        <v>1057</v>
      </c>
      <c r="H29" s="15"/>
      <c r="I29" s="15"/>
      <c r="J29" s="15"/>
    </row>
    <row r="30" spans="1:10" x14ac:dyDescent="0.2">
      <c r="A30" s="15">
        <v>46</v>
      </c>
      <c r="B30" s="15">
        <v>3.48</v>
      </c>
      <c r="C30" s="9" t="s">
        <v>1150</v>
      </c>
      <c r="D30" s="15">
        <v>4.2025399999999999</v>
      </c>
      <c r="E30" t="s">
        <v>1057</v>
      </c>
      <c r="H30" s="15"/>
      <c r="I30" s="15"/>
      <c r="J30" s="15"/>
    </row>
    <row r="31" spans="1:10" x14ac:dyDescent="0.2">
      <c r="A31" s="15">
        <v>47</v>
      </c>
      <c r="B31" s="15">
        <v>3.48</v>
      </c>
      <c r="C31" s="9" t="s">
        <v>1151</v>
      </c>
      <c r="D31" s="15">
        <v>4.3469170000000004</v>
      </c>
      <c r="E31" t="s">
        <v>1057</v>
      </c>
      <c r="H31" s="15"/>
      <c r="I31" s="15"/>
      <c r="J31" s="15"/>
    </row>
    <row r="32" spans="1:10" x14ac:dyDescent="0.2">
      <c r="A32" s="15">
        <v>48</v>
      </c>
      <c r="B32" s="15">
        <v>3.48</v>
      </c>
      <c r="C32" s="9" t="s">
        <v>1152</v>
      </c>
      <c r="D32" s="15">
        <v>4.4962540000000004</v>
      </c>
      <c r="E32" t="s">
        <v>1057</v>
      </c>
      <c r="H32" s="15"/>
      <c r="I32" s="15"/>
      <c r="J32" s="15"/>
    </row>
    <row r="33" spans="1:10" x14ac:dyDescent="0.2">
      <c r="A33" s="15">
        <v>49</v>
      </c>
      <c r="B33" s="15">
        <v>3.48</v>
      </c>
      <c r="C33" s="9" t="s">
        <v>1153</v>
      </c>
      <c r="D33" s="15">
        <v>4.650722</v>
      </c>
      <c r="E33" t="s">
        <v>1057</v>
      </c>
      <c r="H33" s="15"/>
      <c r="I33" s="15"/>
      <c r="J33" s="15"/>
    </row>
    <row r="34" spans="1:10" x14ac:dyDescent="0.2">
      <c r="A34" s="15">
        <v>50</v>
      </c>
      <c r="B34" s="15">
        <v>3.48</v>
      </c>
      <c r="C34" s="9" t="s">
        <v>1154</v>
      </c>
      <c r="D34" s="15">
        <v>4.8104969999999998</v>
      </c>
      <c r="E34" t="s">
        <v>1057</v>
      </c>
      <c r="H34" s="15"/>
      <c r="I34" s="15"/>
      <c r="J34" s="15"/>
    </row>
    <row r="35" spans="1:10" x14ac:dyDescent="0.2">
      <c r="A35" s="15">
        <v>51</v>
      </c>
      <c r="B35" s="15">
        <v>3.48</v>
      </c>
      <c r="C35" s="9" t="s">
        <v>1155</v>
      </c>
      <c r="D35" s="15">
        <v>4.9757600000000002</v>
      </c>
      <c r="E35" t="s">
        <v>1057</v>
      </c>
      <c r="H35" s="15"/>
      <c r="I35" s="15"/>
      <c r="J35" s="15"/>
    </row>
    <row r="36" spans="1:10" x14ac:dyDescent="0.2">
      <c r="A36" s="15">
        <v>52</v>
      </c>
      <c r="B36" s="15">
        <v>3.48</v>
      </c>
      <c r="C36" s="9" t="s">
        <v>1156</v>
      </c>
      <c r="D36" s="15">
        <v>5.1467010000000002</v>
      </c>
      <c r="E36" t="s">
        <v>1057</v>
      </c>
      <c r="H36" s="15"/>
      <c r="I36" s="15"/>
      <c r="J36" s="15"/>
    </row>
    <row r="37" spans="1:10" x14ac:dyDescent="0.2">
      <c r="A37" s="15">
        <v>53</v>
      </c>
      <c r="B37" s="15">
        <v>3.48</v>
      </c>
      <c r="C37" s="9" t="s">
        <v>1157</v>
      </c>
      <c r="D37" s="15">
        <v>5.3235140000000003</v>
      </c>
      <c r="E37" t="s">
        <v>1057</v>
      </c>
      <c r="H37" s="15"/>
      <c r="I37" s="15"/>
      <c r="J37" s="15"/>
    </row>
    <row r="38" spans="1:10" x14ac:dyDescent="0.2">
      <c r="A38" s="15">
        <v>54</v>
      </c>
      <c r="B38" s="15">
        <v>3.48</v>
      </c>
      <c r="C38" s="9" t="s">
        <v>1158</v>
      </c>
      <c r="D38" s="15">
        <v>5.5064019999999996</v>
      </c>
      <c r="E38" t="s">
        <v>1057</v>
      </c>
      <c r="H38" s="15"/>
      <c r="I38" s="15"/>
      <c r="J38" s="15"/>
    </row>
    <row r="39" spans="1:10" x14ac:dyDescent="0.2">
      <c r="A39" s="15">
        <v>55</v>
      </c>
      <c r="B39" s="15">
        <v>6.96</v>
      </c>
      <c r="C39" s="9" t="s">
        <v>1159</v>
      </c>
      <c r="D39" s="15">
        <v>5.6955730000000004</v>
      </c>
      <c r="E39" t="s">
        <v>1057</v>
      </c>
      <c r="H39" s="15"/>
      <c r="I39" s="15"/>
      <c r="J39" s="15"/>
    </row>
    <row r="40" spans="1:10" x14ac:dyDescent="0.2">
      <c r="A40" s="15">
        <v>56</v>
      </c>
      <c r="B40" s="15">
        <v>6.96</v>
      </c>
      <c r="C40" s="9" t="s">
        <v>1160</v>
      </c>
      <c r="D40" s="15">
        <v>5.8912430000000002</v>
      </c>
      <c r="E40" t="s">
        <v>1057</v>
      </c>
      <c r="H40" s="15"/>
      <c r="I40" s="15"/>
      <c r="J40" s="15"/>
    </row>
    <row r="41" spans="1:10" x14ac:dyDescent="0.2">
      <c r="A41" s="15">
        <v>57</v>
      </c>
      <c r="B41" s="15">
        <v>6.96</v>
      </c>
      <c r="C41" s="9" t="s">
        <v>1161</v>
      </c>
      <c r="D41" s="15">
        <v>6.0936349999999999</v>
      </c>
      <c r="E41" t="s">
        <v>1057</v>
      </c>
      <c r="H41" s="15"/>
      <c r="I41" s="15"/>
      <c r="J41" s="15"/>
    </row>
    <row r="42" spans="1:10" x14ac:dyDescent="0.2">
      <c r="A42" s="15">
        <v>58</v>
      </c>
      <c r="B42" s="15">
        <v>6.96</v>
      </c>
      <c r="C42" s="9" t="s">
        <v>1162</v>
      </c>
      <c r="D42" s="15">
        <v>6.3029809999999999</v>
      </c>
      <c r="E42" t="s">
        <v>1057</v>
      </c>
      <c r="H42" s="15"/>
      <c r="I42" s="15"/>
      <c r="J42" s="15"/>
    </row>
    <row r="43" spans="1:10" x14ac:dyDescent="0.2">
      <c r="A43" s="15">
        <v>59</v>
      </c>
      <c r="B43" s="15">
        <v>6.96</v>
      </c>
      <c r="C43" s="9" t="s">
        <v>1163</v>
      </c>
      <c r="D43" s="15">
        <v>6.5195179999999997</v>
      </c>
      <c r="E43" t="s">
        <v>1057</v>
      </c>
      <c r="H43" s="15"/>
      <c r="I43" s="15"/>
      <c r="J43" s="15"/>
    </row>
    <row r="44" spans="1:10" x14ac:dyDescent="0.2">
      <c r="A44" s="15">
        <v>60</v>
      </c>
      <c r="B44" s="15">
        <v>6.96</v>
      </c>
      <c r="C44" s="9" t="s">
        <v>1164</v>
      </c>
      <c r="D44" s="15">
        <v>6.7434940000000001</v>
      </c>
      <c r="E44" t="s">
        <v>1057</v>
      </c>
      <c r="H44" s="15"/>
      <c r="I44" s="15"/>
      <c r="J44" s="15"/>
    </row>
    <row r="45" spans="1:10" x14ac:dyDescent="0.2">
      <c r="A45" s="15">
        <v>61</v>
      </c>
      <c r="B45" s="15">
        <v>6.96</v>
      </c>
      <c r="C45" s="9" t="s">
        <v>1165</v>
      </c>
      <c r="D45" s="15">
        <v>6.9751649999999996</v>
      </c>
      <c r="E45" t="s">
        <v>1057</v>
      </c>
      <c r="H45" s="15"/>
      <c r="I45" s="15"/>
      <c r="J45" s="15"/>
    </row>
    <row r="46" spans="1:10" x14ac:dyDescent="0.2">
      <c r="A46" s="15">
        <v>62</v>
      </c>
      <c r="B46" s="15">
        <v>6.96</v>
      </c>
      <c r="C46" s="9" t="s">
        <v>1166</v>
      </c>
      <c r="D46" s="15">
        <v>7.2147949999999996</v>
      </c>
      <c r="E46" t="s">
        <v>1057</v>
      </c>
      <c r="H46" s="15"/>
      <c r="I46" s="15"/>
      <c r="J46" s="15"/>
    </row>
    <row r="47" spans="1:10" x14ac:dyDescent="0.2">
      <c r="A47" s="15">
        <v>63</v>
      </c>
      <c r="B47" s="15">
        <v>6.96</v>
      </c>
      <c r="C47" s="9" t="s">
        <v>1167</v>
      </c>
      <c r="D47" s="15">
        <v>7.4626580000000002</v>
      </c>
      <c r="E47" t="s">
        <v>1057</v>
      </c>
      <c r="H47" s="15"/>
      <c r="I47" s="15"/>
      <c r="J47" s="15"/>
    </row>
    <row r="48" spans="1:10" x14ac:dyDescent="0.2">
      <c r="A48" s="15">
        <v>64</v>
      </c>
      <c r="B48" s="15">
        <v>6.96</v>
      </c>
      <c r="C48" s="9" t="s">
        <v>1168</v>
      </c>
      <c r="D48" s="15">
        <v>7.7190349999999999</v>
      </c>
      <c r="E48" t="s">
        <v>1057</v>
      </c>
      <c r="H48" s="15"/>
      <c r="I48" s="15"/>
      <c r="J48" s="15"/>
    </row>
    <row r="49" spans="1:10" x14ac:dyDescent="0.2">
      <c r="A49" s="15">
        <v>65</v>
      </c>
      <c r="B49" s="15">
        <v>12.52</v>
      </c>
      <c r="C49" s="9" t="s">
        <v>1169</v>
      </c>
      <c r="D49" s="15">
        <v>7.9842209999999998</v>
      </c>
      <c r="E49" t="s">
        <v>1057</v>
      </c>
      <c r="H49" s="15"/>
      <c r="I49" s="15"/>
      <c r="J49" s="15"/>
    </row>
    <row r="50" spans="1:10" x14ac:dyDescent="0.2">
      <c r="A50" s="15">
        <v>66</v>
      </c>
      <c r="B50" s="15">
        <v>12.52</v>
      </c>
      <c r="C50" s="9" t="s">
        <v>1170</v>
      </c>
      <c r="D50" s="15">
        <v>8.2585169999999994</v>
      </c>
      <c r="E50" t="s">
        <v>1057</v>
      </c>
      <c r="H50" s="15"/>
      <c r="I50" s="15"/>
      <c r="J50" s="15"/>
    </row>
    <row r="51" spans="1:10" x14ac:dyDescent="0.2">
      <c r="A51" s="15">
        <v>67</v>
      </c>
      <c r="B51" s="15">
        <v>12.52</v>
      </c>
      <c r="C51" s="9" t="s">
        <v>1171</v>
      </c>
      <c r="D51" s="15">
        <v>8.5422360000000008</v>
      </c>
      <c r="E51" t="s">
        <v>1057</v>
      </c>
      <c r="H51" s="15"/>
      <c r="I51" s="15"/>
      <c r="J51" s="15"/>
    </row>
    <row r="52" spans="1:10" x14ac:dyDescent="0.2">
      <c r="A52" s="15">
        <v>68</v>
      </c>
      <c r="B52" s="15">
        <v>12.52</v>
      </c>
      <c r="C52" s="9" t="s">
        <v>1172</v>
      </c>
      <c r="D52" s="15">
        <v>8.8357019999999995</v>
      </c>
      <c r="E52" t="s">
        <v>1057</v>
      </c>
      <c r="H52" s="15"/>
      <c r="I52" s="15"/>
      <c r="J52" s="15"/>
    </row>
    <row r="53" spans="1:10" x14ac:dyDescent="0.2">
      <c r="A53" s="15">
        <v>69</v>
      </c>
      <c r="B53" s="15">
        <v>12.52</v>
      </c>
      <c r="C53" s="9" t="s">
        <v>1173</v>
      </c>
      <c r="D53" s="15">
        <v>9.1392509999999998</v>
      </c>
      <c r="E53" t="s">
        <v>1057</v>
      </c>
      <c r="H53" s="15"/>
      <c r="I53" s="15"/>
      <c r="J53" s="15"/>
    </row>
    <row r="54" spans="1:10" x14ac:dyDescent="0.2">
      <c r="A54" s="15">
        <v>70</v>
      </c>
      <c r="B54" s="15">
        <v>12.52</v>
      </c>
      <c r="C54" s="9" t="s">
        <v>1174</v>
      </c>
      <c r="D54" s="15">
        <v>9.453227</v>
      </c>
      <c r="E54" t="s">
        <v>1057</v>
      </c>
      <c r="H54" s="15"/>
      <c r="I54" s="15"/>
      <c r="J54" s="15"/>
    </row>
    <row r="55" spans="1:10" x14ac:dyDescent="0.2">
      <c r="A55" s="15">
        <v>71</v>
      </c>
      <c r="B55" s="15">
        <v>12.52</v>
      </c>
      <c r="C55" s="9" t="s">
        <v>1175</v>
      </c>
      <c r="D55" s="15">
        <v>9.7779900000000008</v>
      </c>
      <c r="E55" t="s">
        <v>1057</v>
      </c>
      <c r="H55" s="15"/>
      <c r="I55" s="15"/>
      <c r="J55" s="15"/>
    </row>
    <row r="56" spans="1:10" x14ac:dyDescent="0.2">
      <c r="A56" s="15">
        <v>72</v>
      </c>
      <c r="B56" s="15">
        <v>12.52</v>
      </c>
      <c r="C56" s="9" t="s">
        <v>1176</v>
      </c>
      <c r="D56" s="15">
        <v>10.113910000000001</v>
      </c>
      <c r="E56" t="s">
        <v>1057</v>
      </c>
      <c r="H56" s="15"/>
      <c r="I56" s="15"/>
      <c r="J56" s="15"/>
    </row>
    <row r="57" spans="1:10" x14ac:dyDescent="0.2">
      <c r="A57" s="15">
        <v>73</v>
      </c>
      <c r="B57" s="15">
        <v>12.52</v>
      </c>
      <c r="C57" s="9" t="s">
        <v>1177</v>
      </c>
      <c r="D57" s="15">
        <v>10.461370000000001</v>
      </c>
      <c r="E57" t="s">
        <v>1057</v>
      </c>
      <c r="H57" s="15"/>
      <c r="I57" s="15"/>
      <c r="J57" s="15"/>
    </row>
    <row r="58" spans="1:10" x14ac:dyDescent="0.2">
      <c r="A58" s="15">
        <v>74</v>
      </c>
      <c r="B58" s="15">
        <v>12.52</v>
      </c>
      <c r="C58" s="9" t="s">
        <v>1178</v>
      </c>
      <c r="D58" s="15">
        <v>10.82077</v>
      </c>
      <c r="E58" t="s">
        <v>1057</v>
      </c>
      <c r="H58" s="15"/>
      <c r="I58" s="15"/>
      <c r="J58" s="15"/>
    </row>
    <row r="59" spans="1:10" x14ac:dyDescent="0.2">
      <c r="A59" s="15">
        <v>75</v>
      </c>
      <c r="B59" s="15">
        <v>15.37</v>
      </c>
      <c r="C59" s="9" t="s">
        <v>1179</v>
      </c>
      <c r="D59" s="15">
        <v>11.19251</v>
      </c>
      <c r="E59" t="s">
        <v>1057</v>
      </c>
      <c r="H59" s="15"/>
      <c r="I59" s="15"/>
      <c r="J59" s="15"/>
    </row>
    <row r="60" spans="1:10" x14ac:dyDescent="0.2">
      <c r="A60" s="15">
        <v>76</v>
      </c>
      <c r="B60" s="15">
        <v>15.37</v>
      </c>
      <c r="C60" s="9" t="s">
        <v>1180</v>
      </c>
      <c r="D60" s="15">
        <v>11.577030000000001</v>
      </c>
      <c r="E60" t="s">
        <v>1057</v>
      </c>
      <c r="H60" s="15"/>
      <c r="I60" s="15"/>
      <c r="J60" s="15"/>
    </row>
    <row r="61" spans="1:10" x14ac:dyDescent="0.2">
      <c r="A61" s="15">
        <v>77</v>
      </c>
      <c r="B61" s="15">
        <v>15.37</v>
      </c>
      <c r="C61" s="9" t="s">
        <v>1181</v>
      </c>
      <c r="D61" s="15">
        <v>11.97476</v>
      </c>
      <c r="E61" t="s">
        <v>1057</v>
      </c>
      <c r="H61" s="15"/>
      <c r="I61" s="15"/>
      <c r="J61" s="15"/>
    </row>
    <row r="62" spans="1:10" x14ac:dyDescent="0.2">
      <c r="A62" s="15">
        <v>78</v>
      </c>
      <c r="B62" s="15">
        <v>15.37</v>
      </c>
      <c r="C62" s="9" t="s">
        <v>1182</v>
      </c>
      <c r="D62" s="15">
        <v>12.386150000000001</v>
      </c>
      <c r="E62" t="s">
        <v>1057</v>
      </c>
      <c r="H62" s="15"/>
      <c r="I62" s="15"/>
      <c r="J62" s="15"/>
    </row>
    <row r="63" spans="1:10" x14ac:dyDescent="0.2">
      <c r="A63" s="15">
        <v>79</v>
      </c>
      <c r="B63" s="15">
        <v>15.37</v>
      </c>
      <c r="C63" s="9" t="s">
        <v>1183</v>
      </c>
      <c r="D63" s="15">
        <v>12.811669999999999</v>
      </c>
      <c r="E63" t="s">
        <v>1057</v>
      </c>
      <c r="H63" s="15"/>
      <c r="I63" s="15"/>
      <c r="J63" s="15"/>
    </row>
    <row r="64" spans="1:10" x14ac:dyDescent="0.2">
      <c r="A64" s="15">
        <v>80</v>
      </c>
      <c r="B64" s="15">
        <v>15.37</v>
      </c>
      <c r="C64" s="9" t="s">
        <v>1184</v>
      </c>
      <c r="D64" s="15">
        <v>13.251810000000001</v>
      </c>
      <c r="E64" t="s">
        <v>1057</v>
      </c>
      <c r="H64" s="15"/>
      <c r="I64" s="15"/>
      <c r="J64" s="15"/>
    </row>
    <row r="65" spans="1:10" x14ac:dyDescent="0.2">
      <c r="A65" s="15">
        <v>81</v>
      </c>
      <c r="B65" s="15">
        <v>15.37</v>
      </c>
      <c r="C65" s="9" t="s">
        <v>1185</v>
      </c>
      <c r="D65" s="15">
        <v>13.70707</v>
      </c>
      <c r="E65" t="s">
        <v>1057</v>
      </c>
      <c r="H65" s="15"/>
      <c r="I65" s="15"/>
      <c r="J65" s="15"/>
    </row>
    <row r="66" spans="1:10" x14ac:dyDescent="0.2">
      <c r="A66" s="15">
        <v>82</v>
      </c>
      <c r="B66" s="15">
        <v>15.37</v>
      </c>
      <c r="C66" s="9" t="s">
        <v>1186</v>
      </c>
      <c r="D66" s="15">
        <v>14.17798</v>
      </c>
      <c r="E66" t="s">
        <v>1057</v>
      </c>
      <c r="H66" s="15"/>
      <c r="I66" s="15"/>
      <c r="J66" s="15"/>
    </row>
    <row r="67" spans="1:10" x14ac:dyDescent="0.2">
      <c r="A67" s="15">
        <v>83</v>
      </c>
      <c r="B67" s="15">
        <v>15.37</v>
      </c>
      <c r="C67" s="9" t="s">
        <v>1187</v>
      </c>
      <c r="D67" s="15">
        <v>14.66506</v>
      </c>
      <c r="E67" t="s">
        <v>1057</v>
      </c>
      <c r="H67" s="15"/>
      <c r="I67" s="15"/>
      <c r="J67" s="15"/>
    </row>
    <row r="68" spans="1:10" x14ac:dyDescent="0.2">
      <c r="A68" s="15">
        <v>84</v>
      </c>
      <c r="B68" s="15">
        <v>15.37</v>
      </c>
      <c r="C68" s="9" t="s">
        <v>1188</v>
      </c>
      <c r="D68" s="15">
        <v>15.16887</v>
      </c>
      <c r="E68" t="s">
        <v>1057</v>
      </c>
      <c r="H68" s="15"/>
      <c r="I68" s="15"/>
      <c r="J68" s="15"/>
    </row>
    <row r="69" spans="1:10" x14ac:dyDescent="0.2">
      <c r="A69" s="15">
        <v>85</v>
      </c>
      <c r="B69" s="15">
        <v>18.149999999999999</v>
      </c>
      <c r="C69" s="9" t="s">
        <v>1189</v>
      </c>
      <c r="D69" s="15">
        <v>15.68999</v>
      </c>
      <c r="E69" t="s">
        <v>1057</v>
      </c>
      <c r="H69" s="15"/>
      <c r="I69" s="15"/>
      <c r="J69" s="15"/>
    </row>
    <row r="70" spans="1:10" x14ac:dyDescent="0.2">
      <c r="A70" s="15">
        <v>86</v>
      </c>
      <c r="B70" s="15">
        <v>18.149999999999999</v>
      </c>
      <c r="C70" s="9" t="s">
        <v>1190</v>
      </c>
      <c r="D70" s="15">
        <v>16.229019999999998</v>
      </c>
      <c r="E70" t="s">
        <v>1057</v>
      </c>
      <c r="H70" s="15"/>
      <c r="I70" s="15"/>
      <c r="J70" s="15"/>
    </row>
    <row r="71" spans="1:10" x14ac:dyDescent="0.2">
      <c r="A71" s="15">
        <v>87</v>
      </c>
      <c r="B71" s="15">
        <v>18.149999999999999</v>
      </c>
      <c r="C71" s="9" t="s">
        <v>1191</v>
      </c>
      <c r="D71" s="15">
        <v>16.786560000000001</v>
      </c>
      <c r="E71" t="s">
        <v>1057</v>
      </c>
      <c r="H71" s="15"/>
      <c r="I71" s="15"/>
      <c r="J71" s="15"/>
    </row>
    <row r="72" spans="1:10" x14ac:dyDescent="0.2">
      <c r="A72" s="15">
        <v>88</v>
      </c>
      <c r="B72" s="15">
        <v>18.149999999999999</v>
      </c>
      <c r="C72" s="9" t="s">
        <v>1214</v>
      </c>
      <c r="D72" s="15">
        <v>17.36326</v>
      </c>
      <c r="H72" s="15"/>
      <c r="I72" s="15"/>
      <c r="J72" s="15"/>
    </row>
    <row r="73" spans="1:10" x14ac:dyDescent="0.2">
      <c r="A73" s="15">
        <v>89</v>
      </c>
      <c r="B73" s="15">
        <v>18.149999999999999</v>
      </c>
      <c r="C73" s="9" t="s">
        <v>1215</v>
      </c>
      <c r="D73" s="15">
        <v>17.959769999999999</v>
      </c>
      <c r="H73" s="15"/>
      <c r="I73" s="15"/>
      <c r="J73" s="15"/>
    </row>
    <row r="74" spans="1:10" x14ac:dyDescent="0.2">
      <c r="A74" s="15">
        <v>90</v>
      </c>
      <c r="B74" s="15">
        <v>18.149999999999999</v>
      </c>
      <c r="C74" s="9" t="s">
        <v>1216</v>
      </c>
      <c r="D74" s="15">
        <v>18.57677</v>
      </c>
      <c r="H74" s="15"/>
      <c r="I74" s="15"/>
      <c r="J74" s="15"/>
    </row>
    <row r="75" spans="1:10" x14ac:dyDescent="0.2">
      <c r="A75" s="15">
        <v>91</v>
      </c>
      <c r="B75" s="15">
        <v>18.149999999999999</v>
      </c>
      <c r="C75" s="9" t="s">
        <v>1217</v>
      </c>
      <c r="D75" s="15">
        <v>19.214970000000001</v>
      </c>
      <c r="H75" s="15"/>
      <c r="I75" s="15"/>
      <c r="J75" s="15"/>
    </row>
    <row r="76" spans="1:10" x14ac:dyDescent="0.2">
      <c r="A76" s="15">
        <v>92</v>
      </c>
      <c r="B76" s="15">
        <v>18.149999999999999</v>
      </c>
      <c r="C76" s="9" t="s">
        <v>1218</v>
      </c>
      <c r="D76" s="15">
        <v>19.8751</v>
      </c>
      <c r="H76" s="15"/>
      <c r="I76" s="15"/>
      <c r="J76" s="15"/>
    </row>
    <row r="77" spans="1:10" x14ac:dyDescent="0.2">
      <c r="A77" s="15">
        <v>93</v>
      </c>
      <c r="B77" s="15">
        <v>18.149999999999999</v>
      </c>
      <c r="C77" s="9" t="s">
        <v>1219</v>
      </c>
      <c r="D77" s="15">
        <v>20.5579</v>
      </c>
      <c r="H77" s="15"/>
      <c r="I77" s="15"/>
      <c r="J77" s="15"/>
    </row>
    <row r="78" spans="1:10" x14ac:dyDescent="0.2">
      <c r="A78" s="15">
        <v>94</v>
      </c>
      <c r="B78" s="15">
        <v>18.149999999999999</v>
      </c>
      <c r="C78" s="9" t="s">
        <v>1220</v>
      </c>
      <c r="D78" s="15">
        <v>21.26416</v>
      </c>
      <c r="H78" s="15"/>
      <c r="I78" s="15"/>
      <c r="J78" s="15"/>
    </row>
    <row r="79" spans="1:10" x14ac:dyDescent="0.2">
      <c r="A79" s="15">
        <v>95</v>
      </c>
      <c r="B79" s="15">
        <v>18.149999999999999</v>
      </c>
      <c r="C79" s="9" t="s">
        <v>1221</v>
      </c>
      <c r="D79" s="15">
        <v>21.994689999999999</v>
      </c>
      <c r="H79" s="15"/>
      <c r="I79" s="15"/>
      <c r="J79" s="15"/>
    </row>
    <row r="80" spans="1:10" x14ac:dyDescent="0.2">
      <c r="A80" s="15">
        <v>96</v>
      </c>
      <c r="B80" s="15">
        <v>18.149999999999999</v>
      </c>
      <c r="C80" s="9" t="s">
        <v>1222</v>
      </c>
      <c r="D80" s="15">
        <v>22.750309999999999</v>
      </c>
      <c r="H80" s="15"/>
      <c r="I80" s="15"/>
      <c r="J80" s="15"/>
    </row>
    <row r="81" spans="1:10" x14ac:dyDescent="0.2">
      <c r="A81" s="15">
        <v>97</v>
      </c>
      <c r="B81" s="15">
        <v>18.149999999999999</v>
      </c>
      <c r="C81" s="9" t="s">
        <v>1223</v>
      </c>
      <c r="D81" s="15">
        <v>23.531890000000001</v>
      </c>
      <c r="H81" s="15"/>
      <c r="I81" s="15"/>
      <c r="J81" s="15"/>
    </row>
    <row r="82" spans="1:10" x14ac:dyDescent="0.2">
      <c r="A82" s="15">
        <v>98</v>
      </c>
      <c r="B82" s="15">
        <v>18.149999999999999</v>
      </c>
      <c r="C82" s="9" t="s">
        <v>1224</v>
      </c>
      <c r="D82" s="15">
        <v>24.340319999999998</v>
      </c>
      <c r="H82" s="15"/>
      <c r="I82" s="15"/>
      <c r="J82" s="15"/>
    </row>
    <row r="83" spans="1:10" x14ac:dyDescent="0.2">
      <c r="A83" s="15">
        <v>99</v>
      </c>
      <c r="B83" s="15">
        <v>18.149999999999999</v>
      </c>
      <c r="C83" s="9" t="s">
        <v>1225</v>
      </c>
      <c r="D83" s="15">
        <v>25.17653</v>
      </c>
      <c r="H83" s="15"/>
      <c r="I83" s="15"/>
      <c r="J83" s="15"/>
    </row>
    <row r="84" spans="1:10" x14ac:dyDescent="0.2">
      <c r="H84" s="15"/>
      <c r="I84" s="15"/>
      <c r="J84" s="15"/>
    </row>
  </sheetData>
  <phoneticPr fontId="3" type="noConversion"/>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873ED-060B-EA40-9555-0E0C7E29DB9C}">
  <sheetPr filterMode="1"/>
  <dimension ref="A1:J63"/>
  <sheetViews>
    <sheetView tabSelected="1" zoomScale="166" zoomScaleNormal="166" workbookViewId="0">
      <selection activeCell="A42" sqref="A42:XFD42"/>
    </sheetView>
  </sheetViews>
  <sheetFormatPr baseColWidth="10" defaultRowHeight="16" x14ac:dyDescent="0.2"/>
  <cols>
    <col min="1" max="1" width="11" customWidth="1"/>
    <col min="2" max="2" width="17.1640625" customWidth="1"/>
    <col min="3" max="3" width="139.1640625" customWidth="1"/>
    <col min="4" max="4" width="15.1640625" customWidth="1"/>
    <col min="5" max="5" width="13.6640625" customWidth="1"/>
    <col min="6" max="6" width="17.33203125" customWidth="1"/>
    <col min="7" max="7" width="16" customWidth="1"/>
    <col min="8" max="8" width="18.83203125" customWidth="1"/>
    <col min="9" max="9" width="14.1640625" customWidth="1"/>
  </cols>
  <sheetData>
    <row r="1" spans="1:10" x14ac:dyDescent="0.2">
      <c r="A1" t="s">
        <v>603</v>
      </c>
      <c r="B1" t="s">
        <v>1055</v>
      </c>
      <c r="C1" t="s">
        <v>557</v>
      </c>
      <c r="D1" t="s">
        <v>1076</v>
      </c>
      <c r="E1" t="s">
        <v>1056</v>
      </c>
      <c r="F1" t="s">
        <v>599</v>
      </c>
      <c r="G1" t="s">
        <v>605</v>
      </c>
      <c r="H1" t="s">
        <v>606</v>
      </c>
      <c r="I1" t="s">
        <v>1059</v>
      </c>
    </row>
    <row r="2" spans="1:10" s="6" customFormat="1" x14ac:dyDescent="0.2">
      <c r="A2" s="6" t="s">
        <v>532</v>
      </c>
      <c r="B2" s="6">
        <v>2.0080483390000001E-3</v>
      </c>
      <c r="C2" s="6" t="s">
        <v>533</v>
      </c>
      <c r="D2" s="6" t="s">
        <v>1058</v>
      </c>
      <c r="E2" s="6" t="s">
        <v>1057</v>
      </c>
      <c r="F2" s="6" t="s">
        <v>598</v>
      </c>
      <c r="G2" s="6">
        <f t="shared" ref="G2" si="0">B2*(((B2*(1-B2))/(I2^2))-1)</f>
        <v>11.086791414560999</v>
      </c>
      <c r="H2" s="6">
        <f t="shared" ref="H2" si="1">(1 - B2) * ( ((B2 * (1 - B2)) / (I2^2)) - 1 )</f>
        <v>5510.0907615532005</v>
      </c>
      <c r="I2" s="6">
        <f>(B2*0.3)</f>
        <v>6.0241450170000002E-4</v>
      </c>
    </row>
    <row r="3" spans="1:10" s="6" customFormat="1" x14ac:dyDescent="0.2">
      <c r="A3" s="6" t="s">
        <v>20</v>
      </c>
      <c r="B3" s="6">
        <v>0.45071972830000001</v>
      </c>
      <c r="C3" s="6" t="s">
        <v>21</v>
      </c>
      <c r="D3" s="6" t="s">
        <v>1058</v>
      </c>
      <c r="E3" s="6" t="s">
        <v>1057</v>
      </c>
      <c r="F3" s="6" t="s">
        <v>598</v>
      </c>
      <c r="G3" s="6">
        <f>B3*(((B3*(1-B3))/(I3^2))-1)</f>
        <v>5.6523944017000005</v>
      </c>
      <c r="H3" s="6">
        <f>(1 - B3) * ( ((B3 * (1 - B3)) / (I3^2)) - 1 )</f>
        <v>6.8884243084536303</v>
      </c>
      <c r="I3" s="6">
        <f t="shared" ref="I3:I15" si="2">(B3*0.3)</f>
        <v>0.13521591849</v>
      </c>
    </row>
    <row r="4" spans="1:10" s="6" customFormat="1" x14ac:dyDescent="0.2">
      <c r="A4" s="6" t="s">
        <v>534</v>
      </c>
      <c r="B4" s="6">
        <v>2.9475520000000002E-2</v>
      </c>
      <c r="C4" s="6" t="s">
        <v>536</v>
      </c>
      <c r="D4" s="6" t="s">
        <v>1058</v>
      </c>
      <c r="E4" s="6" t="s">
        <v>1057</v>
      </c>
      <c r="F4" s="6" t="s">
        <v>598</v>
      </c>
      <c r="G4" s="6">
        <f>B4*(((B4*(1-B4))/(I4^2))-1)</f>
        <v>10.754129813333334</v>
      </c>
      <c r="H4" s="6">
        <f>(1 - B4) * ( ((B4 * (1 - B4)) / (I4^2)) - 1 )</f>
        <v>354.0954067964816</v>
      </c>
      <c r="I4" s="6">
        <f t="shared" si="2"/>
        <v>8.8426560000000008E-3</v>
      </c>
    </row>
    <row r="5" spans="1:10" s="6" customFormat="1" x14ac:dyDescent="0.2">
      <c r="A5" s="6" t="s">
        <v>26</v>
      </c>
      <c r="B5" s="6">
        <v>0.2446468</v>
      </c>
      <c r="C5" s="6" t="s">
        <v>1198</v>
      </c>
      <c r="D5" s="6" t="s">
        <v>1058</v>
      </c>
      <c r="E5" s="6" t="s">
        <v>1057</v>
      </c>
      <c r="F5" s="6" t="s">
        <v>598</v>
      </c>
      <c r="G5" s="6">
        <f>B5*(((B5*(1-B5))/(I5^2))-1)</f>
        <v>8.1481665333333364</v>
      </c>
      <c r="H5" s="6">
        <f>(1 - B5) * ( ((B5 * (1 - B5)) / (I5^2)) - 1 )</f>
        <v>25.157670834387542</v>
      </c>
      <c r="I5" s="6">
        <f t="shared" si="2"/>
        <v>7.3394039999999994E-2</v>
      </c>
    </row>
    <row r="6" spans="1:10" s="6" customFormat="1" x14ac:dyDescent="0.2">
      <c r="A6" s="6" t="s">
        <v>1213</v>
      </c>
      <c r="B6" s="6">
        <v>8.208682274500001E-3</v>
      </c>
      <c r="C6" s="6" t="s">
        <v>1211</v>
      </c>
      <c r="D6" s="6" t="s">
        <v>1058</v>
      </c>
      <c r="E6" s="6" t="s">
        <v>1057</v>
      </c>
      <c r="F6" s="6" t="s">
        <v>598</v>
      </c>
      <c r="G6" s="6">
        <f t="shared" ref="G6:G15" si="3">B6*(((B6*(1-B6))/(I6^2))-1)</f>
        <v>11.011694848008837</v>
      </c>
      <c r="H6" s="6">
        <f t="shared" ref="H6:H15" si="4">(1 - B6) * ( ((B6 * (1 - B6)) / (I6^2)) - 1 )</f>
        <v>1330.4575543902399</v>
      </c>
      <c r="I6" s="6">
        <f t="shared" si="2"/>
        <v>2.46260468235E-3</v>
      </c>
    </row>
    <row r="7" spans="1:10" s="6" customFormat="1" x14ac:dyDescent="0.2">
      <c r="A7" s="6" t="s">
        <v>1208</v>
      </c>
      <c r="B7" s="6">
        <v>1.440931621E-2</v>
      </c>
      <c r="C7" s="6" t="s">
        <v>1212</v>
      </c>
      <c r="D7" s="6" t="s">
        <v>1058</v>
      </c>
      <c r="E7" s="6" t="s">
        <v>1057</v>
      </c>
      <c r="F7" s="6" t="s">
        <v>598</v>
      </c>
      <c r="G7" s="6">
        <f t="shared" si="3"/>
        <v>10.936598281456668</v>
      </c>
      <c r="H7" s="6">
        <f t="shared" si="4"/>
        <v>748.05835484940167</v>
      </c>
      <c r="I7" s="6">
        <f t="shared" si="2"/>
        <v>4.322794863E-3</v>
      </c>
      <c r="J7" t="s">
        <v>1234</v>
      </c>
    </row>
    <row r="8" spans="1:10" s="6" customFormat="1" x14ac:dyDescent="0.2">
      <c r="A8" s="6" t="s">
        <v>1209</v>
      </c>
      <c r="B8" s="6">
        <v>3.9460333629987701E-2</v>
      </c>
      <c r="C8" s="6" t="s">
        <v>1210</v>
      </c>
      <c r="D8" s="6" t="s">
        <v>1057</v>
      </c>
      <c r="E8" s="6" t="s">
        <v>1057</v>
      </c>
      <c r="F8" s="6" t="s">
        <v>598</v>
      </c>
      <c r="G8" s="6">
        <f t="shared" si="3"/>
        <v>10.63320262603682</v>
      </c>
      <c r="H8" s="6">
        <f t="shared" si="4"/>
        <v>258.83240113044451</v>
      </c>
      <c r="I8" s="6">
        <f t="shared" si="2"/>
        <v>1.1838100088996309E-2</v>
      </c>
      <c r="J8"/>
    </row>
    <row r="9" spans="1:10" x14ac:dyDescent="0.2">
      <c r="A9" t="s">
        <v>40</v>
      </c>
      <c r="B9">
        <v>6.9670999999999997E-2</v>
      </c>
      <c r="C9" t="s">
        <v>41</v>
      </c>
      <c r="D9" t="s">
        <v>1058</v>
      </c>
      <c r="E9" t="s">
        <v>1057</v>
      </c>
      <c r="F9" t="s">
        <v>598</v>
      </c>
      <c r="G9">
        <f t="shared" si="3"/>
        <v>10.26731788888889</v>
      </c>
      <c r="H9">
        <f t="shared" si="4"/>
        <v>137.10128438305912</v>
      </c>
      <c r="I9">
        <f t="shared" si="2"/>
        <v>2.0901299999999998E-2</v>
      </c>
    </row>
    <row r="10" spans="1:10" x14ac:dyDescent="0.2">
      <c r="A10" t="s">
        <v>50</v>
      </c>
      <c r="B10">
        <v>0.260602</v>
      </c>
      <c r="C10" t="s">
        <v>1199</v>
      </c>
      <c r="D10" t="s">
        <v>1058</v>
      </c>
      <c r="E10" t="s">
        <v>1057</v>
      </c>
      <c r="F10" t="s">
        <v>598</v>
      </c>
      <c r="G10">
        <f t="shared" si="3"/>
        <v>7.9549313333333318</v>
      </c>
      <c r="H10">
        <f t="shared" si="4"/>
        <v>22.570280803692985</v>
      </c>
      <c r="I10">
        <f t="shared" si="2"/>
        <v>7.8180600000000003E-2</v>
      </c>
    </row>
    <row r="11" spans="1:10" x14ac:dyDescent="0.2">
      <c r="A11" t="s">
        <v>52</v>
      </c>
      <c r="B11">
        <v>0.58463297332395703</v>
      </c>
      <c r="C11" t="s">
        <v>53</v>
      </c>
      <c r="D11" t="s">
        <v>1058</v>
      </c>
      <c r="E11" t="s">
        <v>1057</v>
      </c>
      <c r="F11" t="s">
        <v>598</v>
      </c>
      <c r="G11">
        <f t="shared" si="3"/>
        <v>4.0305562119654095</v>
      </c>
      <c r="H11">
        <f t="shared" si="4"/>
        <v>2.8636088383729268</v>
      </c>
      <c r="I11">
        <f t="shared" si="2"/>
        <v>0.1753898919971871</v>
      </c>
    </row>
    <row r="12" spans="1:10" x14ac:dyDescent="0.2">
      <c r="A12" t="s">
        <v>63</v>
      </c>
      <c r="B12">
        <v>0.260602</v>
      </c>
      <c r="C12" t="s">
        <v>1200</v>
      </c>
      <c r="D12" t="s">
        <v>1058</v>
      </c>
      <c r="E12" t="s">
        <v>1057</v>
      </c>
      <c r="F12" t="s">
        <v>598</v>
      </c>
      <c r="G12">
        <f t="shared" si="3"/>
        <v>7.9549313333333318</v>
      </c>
      <c r="H12">
        <f t="shared" si="4"/>
        <v>22.570280803692985</v>
      </c>
      <c r="I12">
        <f t="shared" si="2"/>
        <v>7.8180600000000003E-2</v>
      </c>
    </row>
    <row r="13" spans="1:10" x14ac:dyDescent="0.2">
      <c r="A13" t="s">
        <v>65</v>
      </c>
      <c r="B13">
        <v>0.58463297332395703</v>
      </c>
      <c r="C13" t="s">
        <v>66</v>
      </c>
      <c r="D13" t="s">
        <v>1058</v>
      </c>
      <c r="E13" t="s">
        <v>1057</v>
      </c>
      <c r="F13" t="s">
        <v>598</v>
      </c>
      <c r="G13">
        <f t="shared" si="3"/>
        <v>4.0305562119654095</v>
      </c>
      <c r="H13">
        <f t="shared" si="4"/>
        <v>2.8636088383729268</v>
      </c>
      <c r="I13">
        <f t="shared" si="2"/>
        <v>0.1753898919971871</v>
      </c>
    </row>
    <row r="14" spans="1:10" x14ac:dyDescent="0.2">
      <c r="A14" t="s">
        <v>74</v>
      </c>
      <c r="B14">
        <v>0.38729024270000001</v>
      </c>
      <c r="C14" t="s">
        <v>75</v>
      </c>
      <c r="D14" t="s">
        <v>1058</v>
      </c>
      <c r="E14" t="s">
        <v>1057</v>
      </c>
      <c r="F14" t="s">
        <v>598</v>
      </c>
      <c r="G14">
        <f t="shared" si="3"/>
        <v>6.4205959495222213</v>
      </c>
      <c r="H14">
        <f t="shared" si="4"/>
        <v>10.157657880889142</v>
      </c>
      <c r="I14">
        <f t="shared" si="2"/>
        <v>0.11618707281</v>
      </c>
    </row>
    <row r="15" spans="1:10" x14ac:dyDescent="0.2">
      <c r="A15" t="s">
        <v>76</v>
      </c>
      <c r="B15">
        <v>0.99782300000000002</v>
      </c>
      <c r="C15" t="s">
        <v>77</v>
      </c>
      <c r="D15" t="s">
        <v>1058</v>
      </c>
      <c r="E15" t="s">
        <v>1057</v>
      </c>
      <c r="F15" t="s">
        <v>598</v>
      </c>
      <c r="G15">
        <f t="shared" si="3"/>
        <v>-0.97363411111111131</v>
      </c>
      <c r="H15">
        <f t="shared" si="4"/>
        <v>-2.1242258996724611E-3</v>
      </c>
      <c r="I15">
        <f t="shared" si="2"/>
        <v>0.29934689999999997</v>
      </c>
    </row>
    <row r="16" spans="1:10" x14ac:dyDescent="0.2">
      <c r="A16" t="s">
        <v>42</v>
      </c>
      <c r="B16">
        <v>1</v>
      </c>
      <c r="C16" t="s">
        <v>43</v>
      </c>
      <c r="D16" t="s">
        <v>1058</v>
      </c>
      <c r="E16" t="s">
        <v>1057</v>
      </c>
      <c r="F16" t="s">
        <v>598</v>
      </c>
      <c r="G16">
        <f t="shared" ref="G16:G27" si="5">B16*(((B16*(1-B16))/(I16^2))-1)</f>
        <v>-1</v>
      </c>
      <c r="H16">
        <f t="shared" ref="H16:H27" si="6">(1 - B16) * ( ((B16 * (1 - B16)) / (I16^2)) - 1 )</f>
        <v>0</v>
      </c>
      <c r="I16">
        <f t="shared" ref="I16:I27" si="7">(B16*0.1)</f>
        <v>0.1</v>
      </c>
    </row>
    <row r="17" spans="1:9" x14ac:dyDescent="0.2">
      <c r="A17" t="s">
        <v>44</v>
      </c>
      <c r="B17">
        <v>1</v>
      </c>
      <c r="C17" t="s">
        <v>45</v>
      </c>
      <c r="D17" t="s">
        <v>1058</v>
      </c>
      <c r="E17" t="s">
        <v>1057</v>
      </c>
      <c r="F17" t="s">
        <v>598</v>
      </c>
      <c r="G17">
        <f t="shared" si="5"/>
        <v>-1</v>
      </c>
      <c r="H17">
        <f t="shared" si="6"/>
        <v>0</v>
      </c>
      <c r="I17">
        <f t="shared" si="7"/>
        <v>0.1</v>
      </c>
    </row>
    <row r="18" spans="1:9" x14ac:dyDescent="0.2">
      <c r="A18" t="s">
        <v>46</v>
      </c>
      <c r="B18">
        <v>1</v>
      </c>
      <c r="C18" t="s">
        <v>45</v>
      </c>
      <c r="D18" t="s">
        <v>1058</v>
      </c>
      <c r="E18" t="s">
        <v>1057</v>
      </c>
      <c r="F18" t="s">
        <v>598</v>
      </c>
      <c r="G18">
        <f t="shared" si="5"/>
        <v>-1</v>
      </c>
      <c r="H18">
        <f t="shared" si="6"/>
        <v>0</v>
      </c>
      <c r="I18">
        <f t="shared" si="7"/>
        <v>0.1</v>
      </c>
    </row>
    <row r="19" spans="1:9" x14ac:dyDescent="0.2">
      <c r="A19" t="s">
        <v>47</v>
      </c>
      <c r="B19">
        <v>1</v>
      </c>
      <c r="C19" t="s">
        <v>45</v>
      </c>
      <c r="D19" t="s">
        <v>1058</v>
      </c>
      <c r="E19" t="s">
        <v>1057</v>
      </c>
      <c r="F19" t="s">
        <v>598</v>
      </c>
      <c r="G19">
        <f t="shared" si="5"/>
        <v>-1</v>
      </c>
      <c r="H19">
        <f t="shared" si="6"/>
        <v>0</v>
      </c>
      <c r="I19">
        <f t="shared" si="7"/>
        <v>0.1</v>
      </c>
    </row>
    <row r="20" spans="1:9" x14ac:dyDescent="0.2">
      <c r="A20" t="s">
        <v>48</v>
      </c>
      <c r="B20">
        <v>1</v>
      </c>
      <c r="C20" t="s">
        <v>45</v>
      </c>
      <c r="D20" t="s">
        <v>1058</v>
      </c>
      <c r="E20" t="s">
        <v>1057</v>
      </c>
      <c r="F20" t="s">
        <v>598</v>
      </c>
      <c r="G20">
        <f t="shared" si="5"/>
        <v>-1</v>
      </c>
      <c r="H20">
        <f t="shared" si="6"/>
        <v>0</v>
      </c>
      <c r="I20">
        <f t="shared" si="7"/>
        <v>0.1</v>
      </c>
    </row>
    <row r="21" spans="1:9" x14ac:dyDescent="0.2">
      <c r="A21" t="s">
        <v>49</v>
      </c>
      <c r="B21">
        <v>0</v>
      </c>
      <c r="C21" t="s">
        <v>1078</v>
      </c>
      <c r="D21" t="s">
        <v>1058</v>
      </c>
      <c r="E21" t="s">
        <v>1057</v>
      </c>
      <c r="F21" t="s">
        <v>598</v>
      </c>
      <c r="G21" t="e">
        <f t="shared" si="5"/>
        <v>#DIV/0!</v>
      </c>
      <c r="H21" t="e">
        <f t="shared" si="6"/>
        <v>#DIV/0!</v>
      </c>
      <c r="I21">
        <f t="shared" si="7"/>
        <v>0</v>
      </c>
    </row>
    <row r="22" spans="1:9" x14ac:dyDescent="0.2">
      <c r="A22" t="s">
        <v>54</v>
      </c>
      <c r="B22">
        <v>1</v>
      </c>
      <c r="C22" t="s">
        <v>55</v>
      </c>
      <c r="D22" t="s">
        <v>1058</v>
      </c>
      <c r="E22" t="s">
        <v>1057</v>
      </c>
      <c r="F22" t="s">
        <v>598</v>
      </c>
      <c r="G22">
        <f t="shared" si="5"/>
        <v>-1</v>
      </c>
      <c r="H22">
        <f t="shared" si="6"/>
        <v>0</v>
      </c>
      <c r="I22">
        <f t="shared" si="7"/>
        <v>0.1</v>
      </c>
    </row>
    <row r="23" spans="1:9" x14ac:dyDescent="0.2">
      <c r="A23" t="s">
        <v>56</v>
      </c>
      <c r="B23">
        <v>1</v>
      </c>
      <c r="C23" t="s">
        <v>57</v>
      </c>
      <c r="D23" t="s">
        <v>1058</v>
      </c>
      <c r="E23" t="s">
        <v>1057</v>
      </c>
      <c r="F23" t="s">
        <v>598</v>
      </c>
      <c r="G23">
        <f t="shared" si="5"/>
        <v>-1</v>
      </c>
      <c r="H23">
        <f t="shared" si="6"/>
        <v>0</v>
      </c>
      <c r="I23">
        <f t="shared" si="7"/>
        <v>0.1</v>
      </c>
    </row>
    <row r="24" spans="1:9" x14ac:dyDescent="0.2">
      <c r="A24" t="s">
        <v>58</v>
      </c>
      <c r="B24">
        <v>1</v>
      </c>
      <c r="C24" t="s">
        <v>59</v>
      </c>
      <c r="D24" t="s">
        <v>1058</v>
      </c>
      <c r="E24" t="s">
        <v>1057</v>
      </c>
      <c r="F24" t="s">
        <v>598</v>
      </c>
      <c r="G24">
        <f t="shared" si="5"/>
        <v>-1</v>
      </c>
      <c r="H24">
        <f t="shared" si="6"/>
        <v>0</v>
      </c>
      <c r="I24">
        <f t="shared" si="7"/>
        <v>0.1</v>
      </c>
    </row>
    <row r="25" spans="1:9" x14ac:dyDescent="0.2">
      <c r="A25" t="s">
        <v>60</v>
      </c>
      <c r="B25">
        <v>1</v>
      </c>
      <c r="C25" t="s">
        <v>59</v>
      </c>
      <c r="D25" t="s">
        <v>1058</v>
      </c>
      <c r="E25" t="s">
        <v>1057</v>
      </c>
      <c r="F25" t="s">
        <v>598</v>
      </c>
      <c r="G25">
        <f t="shared" si="5"/>
        <v>-1</v>
      </c>
      <c r="H25">
        <f t="shared" si="6"/>
        <v>0</v>
      </c>
      <c r="I25">
        <f t="shared" si="7"/>
        <v>0.1</v>
      </c>
    </row>
    <row r="26" spans="1:9" x14ac:dyDescent="0.2">
      <c r="A26" t="s">
        <v>61</v>
      </c>
      <c r="B26">
        <v>1</v>
      </c>
      <c r="C26" t="s">
        <v>59</v>
      </c>
      <c r="D26" t="s">
        <v>1058</v>
      </c>
      <c r="E26" t="s">
        <v>1057</v>
      </c>
      <c r="F26" t="s">
        <v>598</v>
      </c>
      <c r="G26">
        <f t="shared" si="5"/>
        <v>-1</v>
      </c>
      <c r="H26">
        <f t="shared" si="6"/>
        <v>0</v>
      </c>
      <c r="I26">
        <f t="shared" si="7"/>
        <v>0.1</v>
      </c>
    </row>
    <row r="27" spans="1:9" x14ac:dyDescent="0.2">
      <c r="A27" t="s">
        <v>62</v>
      </c>
      <c r="B27">
        <v>0</v>
      </c>
      <c r="C27" t="s">
        <v>1079</v>
      </c>
      <c r="D27" t="s">
        <v>1058</v>
      </c>
      <c r="E27" t="s">
        <v>1057</v>
      </c>
      <c r="F27" t="s">
        <v>598</v>
      </c>
      <c r="G27" t="e">
        <f t="shared" si="5"/>
        <v>#DIV/0!</v>
      </c>
      <c r="H27" t="e">
        <f t="shared" si="6"/>
        <v>#DIV/0!</v>
      </c>
      <c r="I27">
        <f t="shared" si="7"/>
        <v>0</v>
      </c>
    </row>
    <row r="28" spans="1:9" x14ac:dyDescent="0.2">
      <c r="A28" t="s">
        <v>67</v>
      </c>
      <c r="B28">
        <v>1</v>
      </c>
      <c r="C28" t="s">
        <v>68</v>
      </c>
      <c r="D28" t="s">
        <v>1058</v>
      </c>
      <c r="E28" t="s">
        <v>1057</v>
      </c>
      <c r="F28" t="s">
        <v>598</v>
      </c>
      <c r="G28">
        <f t="shared" ref="G28:G33" si="8">B28*(((B28*(1-B28))/(I28^2))-1)</f>
        <v>-1</v>
      </c>
      <c r="H28">
        <f t="shared" ref="H28:H33" si="9">(1 - B28) * ( ((B28 * (1 - B28)) / (I28^2)) - 1 )</f>
        <v>0</v>
      </c>
      <c r="I28">
        <f t="shared" ref="I28:I33" si="10">(B28*0.1)</f>
        <v>0.1</v>
      </c>
    </row>
    <row r="29" spans="1:9" x14ac:dyDescent="0.2">
      <c r="A29" t="s">
        <v>69</v>
      </c>
      <c r="B29">
        <v>1</v>
      </c>
      <c r="C29" t="s">
        <v>59</v>
      </c>
      <c r="D29" t="s">
        <v>1058</v>
      </c>
      <c r="E29" t="s">
        <v>1057</v>
      </c>
      <c r="F29" t="s">
        <v>598</v>
      </c>
      <c r="G29">
        <f t="shared" si="8"/>
        <v>-1</v>
      </c>
      <c r="H29">
        <f t="shared" si="9"/>
        <v>0</v>
      </c>
      <c r="I29">
        <f t="shared" si="10"/>
        <v>0.1</v>
      </c>
    </row>
    <row r="30" spans="1:9" x14ac:dyDescent="0.2">
      <c r="A30" t="s">
        <v>70</v>
      </c>
      <c r="B30">
        <v>1</v>
      </c>
      <c r="C30" t="s">
        <v>59</v>
      </c>
      <c r="D30" t="s">
        <v>1058</v>
      </c>
      <c r="E30" t="s">
        <v>1057</v>
      </c>
      <c r="F30" t="s">
        <v>598</v>
      </c>
      <c r="G30">
        <f t="shared" si="8"/>
        <v>-1</v>
      </c>
      <c r="H30">
        <f t="shared" si="9"/>
        <v>0</v>
      </c>
      <c r="I30">
        <f t="shared" si="10"/>
        <v>0.1</v>
      </c>
    </row>
    <row r="31" spans="1:9" x14ac:dyDescent="0.2">
      <c r="A31" t="s">
        <v>71</v>
      </c>
      <c r="B31">
        <v>1</v>
      </c>
      <c r="C31" t="s">
        <v>59</v>
      </c>
      <c r="D31" t="s">
        <v>1058</v>
      </c>
      <c r="E31" t="s">
        <v>1057</v>
      </c>
      <c r="F31" t="s">
        <v>598</v>
      </c>
      <c r="G31">
        <f t="shared" si="8"/>
        <v>-1</v>
      </c>
      <c r="H31">
        <f t="shared" si="9"/>
        <v>0</v>
      </c>
      <c r="I31">
        <f t="shared" si="10"/>
        <v>0.1</v>
      </c>
    </row>
    <row r="32" spans="1:9" x14ac:dyDescent="0.2">
      <c r="A32" t="s">
        <v>72</v>
      </c>
      <c r="B32">
        <v>1</v>
      </c>
      <c r="C32" t="s">
        <v>59</v>
      </c>
      <c r="D32" t="s">
        <v>1058</v>
      </c>
      <c r="E32" t="s">
        <v>1057</v>
      </c>
      <c r="F32" t="s">
        <v>598</v>
      </c>
      <c r="G32">
        <f t="shared" si="8"/>
        <v>-1</v>
      </c>
      <c r="H32">
        <f t="shared" si="9"/>
        <v>0</v>
      </c>
      <c r="I32">
        <f t="shared" si="10"/>
        <v>0.1</v>
      </c>
    </row>
    <row r="33" spans="1:9" x14ac:dyDescent="0.2">
      <c r="A33" t="s">
        <v>73</v>
      </c>
      <c r="B33">
        <v>0</v>
      </c>
      <c r="C33" t="s">
        <v>1233</v>
      </c>
      <c r="D33" t="s">
        <v>1058</v>
      </c>
      <c r="E33" t="s">
        <v>1057</v>
      </c>
      <c r="F33" t="s">
        <v>598</v>
      </c>
      <c r="G33" t="e">
        <f t="shared" si="8"/>
        <v>#DIV/0!</v>
      </c>
      <c r="H33" t="e">
        <f t="shared" si="9"/>
        <v>#DIV/0!</v>
      </c>
      <c r="I33">
        <f t="shared" si="10"/>
        <v>0</v>
      </c>
    </row>
    <row r="34" spans="1:9" x14ac:dyDescent="0.2">
      <c r="A34" t="s">
        <v>85</v>
      </c>
      <c r="B34">
        <v>0</v>
      </c>
      <c r="C34" t="s">
        <v>1077</v>
      </c>
      <c r="D34" t="s">
        <v>1058</v>
      </c>
      <c r="E34" t="s">
        <v>1057</v>
      </c>
      <c r="F34" t="s">
        <v>598</v>
      </c>
      <c r="G34" t="e">
        <f t="shared" ref="G34:G53" si="11">B34*(((B34*(1-B34))/(I34^2))-1)</f>
        <v>#DIV/0!</v>
      </c>
      <c r="H34" t="e">
        <f t="shared" ref="H34:H53" si="12">(1 - B34) * ( ((B34 * (1 - B34)) / (I34^2)) - 1 )</f>
        <v>#DIV/0!</v>
      </c>
      <c r="I34">
        <f t="shared" ref="I34:I63" si="13">(B34*0.1)</f>
        <v>0</v>
      </c>
    </row>
    <row r="35" spans="1:9" x14ac:dyDescent="0.2">
      <c r="A35" t="s">
        <v>78</v>
      </c>
      <c r="B35">
        <v>1</v>
      </c>
      <c r="C35" t="s">
        <v>79</v>
      </c>
      <c r="D35" t="s">
        <v>1058</v>
      </c>
      <c r="E35" t="s">
        <v>1057</v>
      </c>
      <c r="F35" t="s">
        <v>598</v>
      </c>
      <c r="G35">
        <f t="shared" si="11"/>
        <v>-1</v>
      </c>
      <c r="H35">
        <f t="shared" si="12"/>
        <v>0</v>
      </c>
      <c r="I35">
        <f t="shared" si="13"/>
        <v>0.1</v>
      </c>
    </row>
    <row r="36" spans="1:9" x14ac:dyDescent="0.2">
      <c r="A36" t="s">
        <v>80</v>
      </c>
      <c r="B36">
        <v>1</v>
      </c>
      <c r="C36" t="s">
        <v>81</v>
      </c>
      <c r="D36" t="s">
        <v>1058</v>
      </c>
      <c r="E36" t="s">
        <v>1057</v>
      </c>
      <c r="F36" t="s">
        <v>598</v>
      </c>
      <c r="G36">
        <f t="shared" si="11"/>
        <v>-1</v>
      </c>
      <c r="H36">
        <f t="shared" si="12"/>
        <v>0</v>
      </c>
      <c r="I36">
        <f t="shared" si="13"/>
        <v>0.1</v>
      </c>
    </row>
    <row r="37" spans="1:9" x14ac:dyDescent="0.2">
      <c r="A37" t="s">
        <v>82</v>
      </c>
      <c r="B37">
        <v>1</v>
      </c>
      <c r="C37" t="s">
        <v>59</v>
      </c>
      <c r="D37" t="s">
        <v>1058</v>
      </c>
      <c r="E37" t="s">
        <v>1057</v>
      </c>
      <c r="F37" t="s">
        <v>598</v>
      </c>
      <c r="G37">
        <f t="shared" si="11"/>
        <v>-1</v>
      </c>
      <c r="H37">
        <f t="shared" si="12"/>
        <v>0</v>
      </c>
      <c r="I37">
        <f t="shared" si="13"/>
        <v>0.1</v>
      </c>
    </row>
    <row r="38" spans="1:9" x14ac:dyDescent="0.2">
      <c r="A38" t="s">
        <v>83</v>
      </c>
      <c r="B38">
        <v>1</v>
      </c>
      <c r="C38" t="s">
        <v>59</v>
      </c>
      <c r="D38" t="s">
        <v>1058</v>
      </c>
      <c r="E38" t="s">
        <v>1057</v>
      </c>
      <c r="F38" t="s">
        <v>598</v>
      </c>
      <c r="G38">
        <f t="shared" si="11"/>
        <v>-1</v>
      </c>
      <c r="H38">
        <f t="shared" si="12"/>
        <v>0</v>
      </c>
      <c r="I38">
        <f t="shared" si="13"/>
        <v>0.1</v>
      </c>
    </row>
    <row r="39" spans="1:9" x14ac:dyDescent="0.2">
      <c r="A39" t="s">
        <v>84</v>
      </c>
      <c r="B39">
        <v>1</v>
      </c>
      <c r="C39" t="s">
        <v>59</v>
      </c>
      <c r="D39" t="s">
        <v>1058</v>
      </c>
      <c r="E39" t="s">
        <v>1057</v>
      </c>
      <c r="F39" t="s">
        <v>598</v>
      </c>
      <c r="G39">
        <f t="shared" si="11"/>
        <v>-1</v>
      </c>
      <c r="H39">
        <f t="shared" si="12"/>
        <v>0</v>
      </c>
      <c r="I39">
        <f t="shared" si="13"/>
        <v>0.1</v>
      </c>
    </row>
    <row r="40" spans="1:9" x14ac:dyDescent="0.2">
      <c r="A40" t="s">
        <v>537</v>
      </c>
      <c r="B40">
        <v>0</v>
      </c>
      <c r="C40" t="s">
        <v>538</v>
      </c>
      <c r="D40" t="s">
        <v>1058</v>
      </c>
      <c r="E40" t="s">
        <v>1057</v>
      </c>
      <c r="F40" t="s">
        <v>598</v>
      </c>
      <c r="G40" t="e">
        <f t="shared" si="11"/>
        <v>#DIV/0!</v>
      </c>
      <c r="H40" t="e">
        <f t="shared" si="12"/>
        <v>#DIV/0!</v>
      </c>
      <c r="I40">
        <f t="shared" si="13"/>
        <v>0</v>
      </c>
    </row>
    <row r="41" spans="1:9" x14ac:dyDescent="0.2">
      <c r="A41" t="s">
        <v>27</v>
      </c>
      <c r="B41">
        <v>0</v>
      </c>
      <c r="C41" t="s">
        <v>28</v>
      </c>
      <c r="D41" t="s">
        <v>1058</v>
      </c>
      <c r="E41" t="s">
        <v>1057</v>
      </c>
      <c r="F41" t="s">
        <v>598</v>
      </c>
      <c r="G41" t="e">
        <f t="shared" si="11"/>
        <v>#DIV/0!</v>
      </c>
      <c r="H41" t="e">
        <f t="shared" si="12"/>
        <v>#DIV/0!</v>
      </c>
      <c r="I41">
        <f t="shared" si="13"/>
        <v>0</v>
      </c>
    </row>
    <row r="42" spans="1:9" x14ac:dyDescent="0.2">
      <c r="A42" t="s">
        <v>539</v>
      </c>
      <c r="B42">
        <v>0</v>
      </c>
      <c r="C42" t="s">
        <v>1197</v>
      </c>
      <c r="D42" t="s">
        <v>1058</v>
      </c>
      <c r="E42" t="s">
        <v>1057</v>
      </c>
      <c r="F42" t="s">
        <v>598</v>
      </c>
      <c r="G42" t="e">
        <f t="shared" si="11"/>
        <v>#DIV/0!</v>
      </c>
      <c r="H42" t="e">
        <f t="shared" si="12"/>
        <v>#DIV/0!</v>
      </c>
      <c r="I42">
        <f t="shared" si="13"/>
        <v>0</v>
      </c>
    </row>
    <row r="43" spans="1:9" x14ac:dyDescent="0.2">
      <c r="A43" t="s">
        <v>29</v>
      </c>
      <c r="B43">
        <v>0</v>
      </c>
      <c r="C43" t="s">
        <v>30</v>
      </c>
      <c r="D43" t="s">
        <v>1058</v>
      </c>
      <c r="E43" t="s">
        <v>1057</v>
      </c>
      <c r="F43" t="s">
        <v>598</v>
      </c>
      <c r="G43" t="e">
        <f t="shared" si="11"/>
        <v>#DIV/0!</v>
      </c>
      <c r="H43" t="e">
        <f t="shared" si="12"/>
        <v>#DIV/0!</v>
      </c>
      <c r="I43">
        <f t="shared" si="13"/>
        <v>0</v>
      </c>
    </row>
    <row r="44" spans="1:9" x14ac:dyDescent="0.2">
      <c r="A44" t="s">
        <v>38</v>
      </c>
      <c r="B44">
        <v>3.9460333629987701E-2</v>
      </c>
      <c r="C44" t="s">
        <v>1195</v>
      </c>
      <c r="D44" t="s">
        <v>1058</v>
      </c>
      <c r="E44" t="s">
        <v>1057</v>
      </c>
      <c r="F44" t="s">
        <v>598</v>
      </c>
      <c r="G44">
        <f t="shared" si="11"/>
        <v>96.01450630337122</v>
      </c>
      <c r="H44">
        <f t="shared" si="12"/>
        <v>2337.1759275049594</v>
      </c>
      <c r="I44">
        <f t="shared" si="13"/>
        <v>3.9460333629987706E-3</v>
      </c>
    </row>
    <row r="45" spans="1:9" x14ac:dyDescent="0.2">
      <c r="A45" t="s">
        <v>39</v>
      </c>
      <c r="B45">
        <v>3.9460333629987701E-2</v>
      </c>
      <c r="C45" t="s">
        <v>1194</v>
      </c>
      <c r="D45" t="s">
        <v>1058</v>
      </c>
      <c r="E45" t="s">
        <v>1057</v>
      </c>
      <c r="F45" t="s">
        <v>598</v>
      </c>
      <c r="G45">
        <f t="shared" si="11"/>
        <v>96.01450630337122</v>
      </c>
      <c r="H45">
        <f t="shared" si="12"/>
        <v>2337.1759275049594</v>
      </c>
      <c r="I45">
        <f t="shared" si="13"/>
        <v>3.9460333629987706E-3</v>
      </c>
    </row>
    <row r="46" spans="1:9" x14ac:dyDescent="0.2">
      <c r="A46" t="s">
        <v>541</v>
      </c>
      <c r="B46">
        <v>0</v>
      </c>
      <c r="C46" t="s">
        <v>542</v>
      </c>
      <c r="D46" t="s">
        <v>1058</v>
      </c>
      <c r="E46" t="s">
        <v>1057</v>
      </c>
      <c r="F46" t="s">
        <v>598</v>
      </c>
      <c r="G46" t="e">
        <f t="shared" si="11"/>
        <v>#DIV/0!</v>
      </c>
      <c r="H46" t="e">
        <f t="shared" si="12"/>
        <v>#DIV/0!</v>
      </c>
      <c r="I46">
        <f t="shared" si="13"/>
        <v>0</v>
      </c>
    </row>
    <row r="47" spans="1:9" x14ac:dyDescent="0.2">
      <c r="A47" t="s">
        <v>31</v>
      </c>
      <c r="B47">
        <v>0</v>
      </c>
      <c r="C47" t="s">
        <v>1196</v>
      </c>
      <c r="D47" t="s">
        <v>1058</v>
      </c>
      <c r="E47" t="s">
        <v>1057</v>
      </c>
      <c r="F47" t="s">
        <v>598</v>
      </c>
      <c r="G47" t="e">
        <f t="shared" si="11"/>
        <v>#DIV/0!</v>
      </c>
      <c r="H47" t="e">
        <f t="shared" si="12"/>
        <v>#DIV/0!</v>
      </c>
      <c r="I47">
        <f t="shared" si="13"/>
        <v>0</v>
      </c>
    </row>
    <row r="48" spans="1:9" x14ac:dyDescent="0.2">
      <c r="A48" t="s">
        <v>543</v>
      </c>
      <c r="B48">
        <v>0</v>
      </c>
      <c r="C48" t="s">
        <v>545</v>
      </c>
      <c r="D48" t="s">
        <v>1058</v>
      </c>
      <c r="E48" t="s">
        <v>1057</v>
      </c>
      <c r="F48" t="s">
        <v>598</v>
      </c>
      <c r="G48" t="e">
        <f t="shared" si="11"/>
        <v>#DIV/0!</v>
      </c>
      <c r="H48" t="e">
        <f t="shared" si="12"/>
        <v>#DIV/0!</v>
      </c>
      <c r="I48">
        <f t="shared" si="13"/>
        <v>0</v>
      </c>
    </row>
    <row r="49" spans="1:9" x14ac:dyDescent="0.2">
      <c r="A49" t="s">
        <v>32</v>
      </c>
      <c r="B49">
        <v>0</v>
      </c>
      <c r="C49" t="s">
        <v>33</v>
      </c>
      <c r="D49" t="s">
        <v>1058</v>
      </c>
      <c r="E49" t="s">
        <v>1057</v>
      </c>
      <c r="F49" t="s">
        <v>598</v>
      </c>
      <c r="G49" t="e">
        <f t="shared" si="11"/>
        <v>#DIV/0!</v>
      </c>
      <c r="H49" t="e">
        <f t="shared" si="12"/>
        <v>#DIV/0!</v>
      </c>
      <c r="I49">
        <f t="shared" si="13"/>
        <v>0</v>
      </c>
    </row>
    <row r="50" spans="1:9" x14ac:dyDescent="0.2">
      <c r="A50" t="s">
        <v>0</v>
      </c>
      <c r="B50">
        <v>0</v>
      </c>
      <c r="C50" t="s">
        <v>1</v>
      </c>
      <c r="D50" t="s">
        <v>1058</v>
      </c>
      <c r="E50" t="s">
        <v>1057</v>
      </c>
      <c r="F50" t="s">
        <v>598</v>
      </c>
      <c r="G50" t="e">
        <f t="shared" si="11"/>
        <v>#DIV/0!</v>
      </c>
      <c r="H50" t="e">
        <f t="shared" si="12"/>
        <v>#DIV/0!</v>
      </c>
      <c r="I50">
        <f t="shared" si="13"/>
        <v>0</v>
      </c>
    </row>
    <row r="51" spans="1:9" x14ac:dyDescent="0.2">
      <c r="A51" t="s">
        <v>34</v>
      </c>
      <c r="B51">
        <v>0</v>
      </c>
      <c r="C51" t="s">
        <v>35</v>
      </c>
      <c r="D51" t="s">
        <v>1058</v>
      </c>
      <c r="E51" t="s">
        <v>1057</v>
      </c>
      <c r="F51" t="s">
        <v>598</v>
      </c>
      <c r="G51" t="e">
        <f t="shared" si="11"/>
        <v>#DIV/0!</v>
      </c>
      <c r="H51" t="e">
        <f t="shared" si="12"/>
        <v>#DIV/0!</v>
      </c>
      <c r="I51">
        <f t="shared" si="13"/>
        <v>0</v>
      </c>
    </row>
    <row r="52" spans="1:9" x14ac:dyDescent="0.2">
      <c r="A52" t="s">
        <v>2</v>
      </c>
      <c r="B52" t="s">
        <v>434</v>
      </c>
      <c r="C52" t="s">
        <v>3</v>
      </c>
      <c r="D52" t="s">
        <v>1058</v>
      </c>
      <c r="E52" t="s">
        <v>1057</v>
      </c>
      <c r="F52" t="s">
        <v>598</v>
      </c>
      <c r="G52">
        <f t="shared" si="11"/>
        <v>95.591602478789994</v>
      </c>
      <c r="H52">
        <f t="shared" si="12"/>
        <v>2094.4903499554339</v>
      </c>
      <c r="I52">
        <f t="shared" si="13"/>
        <v>4.3647500210000001E-3</v>
      </c>
    </row>
    <row r="53" spans="1:9" x14ac:dyDescent="0.2">
      <c r="A53" t="s">
        <v>36</v>
      </c>
      <c r="B53" t="s">
        <v>437</v>
      </c>
      <c r="C53" t="s">
        <v>37</v>
      </c>
      <c r="D53" t="s">
        <v>1058</v>
      </c>
      <c r="E53" t="s">
        <v>1057</v>
      </c>
      <c r="F53" t="s">
        <v>598</v>
      </c>
      <c r="G53">
        <f t="shared" si="11"/>
        <v>97.893984598359992</v>
      </c>
      <c r="H53">
        <f t="shared" si="12"/>
        <v>4596.8924052518332</v>
      </c>
      <c r="I53">
        <f t="shared" si="13"/>
        <v>2.0851637640000001E-3</v>
      </c>
    </row>
    <row r="54" spans="1:9" x14ac:dyDescent="0.2">
      <c r="A54" t="s">
        <v>4</v>
      </c>
      <c r="B54">
        <v>0</v>
      </c>
      <c r="C54" t="s">
        <v>5</v>
      </c>
      <c r="D54" t="s">
        <v>1058</v>
      </c>
      <c r="E54" t="s">
        <v>1057</v>
      </c>
      <c r="F54" t="s">
        <v>598</v>
      </c>
      <c r="G54">
        <v>0</v>
      </c>
      <c r="H54">
        <v>0</v>
      </c>
      <c r="I54">
        <f t="shared" si="13"/>
        <v>0</v>
      </c>
    </row>
    <row r="55" spans="1:9" x14ac:dyDescent="0.2">
      <c r="A55" t="s">
        <v>6</v>
      </c>
      <c r="B55">
        <v>0</v>
      </c>
      <c r="C55" t="s">
        <v>7</v>
      </c>
      <c r="D55" t="s">
        <v>1058</v>
      </c>
      <c r="E55" t="s">
        <v>1057</v>
      </c>
      <c r="F55" t="s">
        <v>598</v>
      </c>
      <c r="G55">
        <v>0</v>
      </c>
      <c r="H55">
        <v>0</v>
      </c>
      <c r="I55">
        <f t="shared" si="13"/>
        <v>0</v>
      </c>
    </row>
    <row r="56" spans="1:9" x14ac:dyDescent="0.2">
      <c r="A56" t="s">
        <v>8</v>
      </c>
      <c r="B56">
        <v>0</v>
      </c>
      <c r="C56" t="s">
        <v>9</v>
      </c>
      <c r="D56" t="s">
        <v>1058</v>
      </c>
      <c r="E56" t="s">
        <v>1057</v>
      </c>
      <c r="F56" t="s">
        <v>598</v>
      </c>
      <c r="G56">
        <v>0</v>
      </c>
      <c r="H56">
        <v>0</v>
      </c>
      <c r="I56">
        <f t="shared" si="13"/>
        <v>0</v>
      </c>
    </row>
    <row r="57" spans="1:9" x14ac:dyDescent="0.2">
      <c r="A57" t="s">
        <v>10</v>
      </c>
      <c r="B57">
        <v>0</v>
      </c>
      <c r="C57" t="s">
        <v>11</v>
      </c>
      <c r="D57" t="s">
        <v>1058</v>
      </c>
      <c r="E57" t="s">
        <v>1057</v>
      </c>
      <c r="F57" t="s">
        <v>598</v>
      </c>
      <c r="G57" t="e">
        <f>B57*(((B57*(1-B57))/(I57^2))-1)</f>
        <v>#DIV/0!</v>
      </c>
      <c r="H57" t="e">
        <f>(1 - B57) * ( ((B57 * (1 - B57)) / (I57^2)) - 1 )</f>
        <v>#DIV/0!</v>
      </c>
      <c r="I57">
        <f t="shared" si="13"/>
        <v>0</v>
      </c>
    </row>
    <row r="58" spans="1:9" x14ac:dyDescent="0.2">
      <c r="A58" t="s">
        <v>12</v>
      </c>
      <c r="B58">
        <v>0</v>
      </c>
      <c r="C58" t="s">
        <v>13</v>
      </c>
      <c r="D58" t="s">
        <v>1058</v>
      </c>
      <c r="E58" t="s">
        <v>1057</v>
      </c>
      <c r="F58" t="s">
        <v>598</v>
      </c>
      <c r="G58">
        <v>0</v>
      </c>
      <c r="H58">
        <v>0</v>
      </c>
      <c r="I58">
        <f t="shared" si="13"/>
        <v>0</v>
      </c>
    </row>
    <row r="59" spans="1:9" x14ac:dyDescent="0.2">
      <c r="A59" t="s">
        <v>14</v>
      </c>
      <c r="B59">
        <v>0</v>
      </c>
      <c r="C59" t="s">
        <v>15</v>
      </c>
      <c r="D59" t="s">
        <v>1058</v>
      </c>
      <c r="E59" t="s">
        <v>1057</v>
      </c>
      <c r="F59" t="s">
        <v>598</v>
      </c>
      <c r="G59" t="e">
        <f>B59*(((B59*(1-B59))/(I59^2))-1)</f>
        <v>#DIV/0!</v>
      </c>
      <c r="H59" t="e">
        <f>(1 - B59) * ( ((B59 * (1 - B59)) / (I59^2)) - 1 )</f>
        <v>#DIV/0!</v>
      </c>
      <c r="I59">
        <f t="shared" si="13"/>
        <v>0</v>
      </c>
    </row>
    <row r="60" spans="1:9" x14ac:dyDescent="0.2">
      <c r="A60" t="s">
        <v>16</v>
      </c>
      <c r="B60">
        <v>0</v>
      </c>
      <c r="C60" t="s">
        <v>17</v>
      </c>
      <c r="D60" t="s">
        <v>1058</v>
      </c>
      <c r="E60" t="s">
        <v>1057</v>
      </c>
      <c r="F60" t="s">
        <v>598</v>
      </c>
      <c r="G60">
        <v>0</v>
      </c>
      <c r="H60">
        <v>0</v>
      </c>
      <c r="I60">
        <f t="shared" si="13"/>
        <v>0</v>
      </c>
    </row>
    <row r="61" spans="1:9" x14ac:dyDescent="0.2">
      <c r="A61" t="s">
        <v>18</v>
      </c>
      <c r="B61">
        <v>0</v>
      </c>
      <c r="C61" t="s">
        <v>19</v>
      </c>
      <c r="D61" t="s">
        <v>1058</v>
      </c>
      <c r="E61" t="s">
        <v>1057</v>
      </c>
      <c r="F61" t="s">
        <v>598</v>
      </c>
      <c r="G61" t="e">
        <f>B61*(((B61*(1-B61))/(I61^2))-1)</f>
        <v>#DIV/0!</v>
      </c>
      <c r="H61" t="e">
        <f>(1 - B61) * ( ((B61 * (1 - B61)) / (I61^2)) - 1 )</f>
        <v>#DIV/0!</v>
      </c>
      <c r="I61">
        <f t="shared" si="13"/>
        <v>0</v>
      </c>
    </row>
    <row r="62" spans="1:9" x14ac:dyDescent="0.2">
      <c r="A62" t="s">
        <v>22</v>
      </c>
      <c r="B62">
        <v>0</v>
      </c>
      <c r="C62" t="s">
        <v>23</v>
      </c>
      <c r="D62" t="s">
        <v>1058</v>
      </c>
      <c r="E62" t="s">
        <v>1057</v>
      </c>
      <c r="F62" t="s">
        <v>598</v>
      </c>
      <c r="G62">
        <v>0</v>
      </c>
      <c r="H62">
        <v>0</v>
      </c>
      <c r="I62">
        <f t="shared" si="13"/>
        <v>0</v>
      </c>
    </row>
    <row r="63" spans="1:9" x14ac:dyDescent="0.2">
      <c r="A63" t="s">
        <v>24</v>
      </c>
      <c r="B63">
        <v>0</v>
      </c>
      <c r="C63" t="s">
        <v>25</v>
      </c>
      <c r="D63" t="s">
        <v>1058</v>
      </c>
      <c r="E63" t="s">
        <v>1057</v>
      </c>
      <c r="F63" t="s">
        <v>598</v>
      </c>
      <c r="G63">
        <v>0</v>
      </c>
      <c r="H63">
        <v>0</v>
      </c>
      <c r="I63">
        <f t="shared" si="13"/>
        <v>0</v>
      </c>
    </row>
  </sheetData>
  <autoFilter ref="A1:I89" xr:uid="{29B873ED-060B-EA40-9555-0E0C7E29DB9C}">
    <filterColumn colId="4">
      <filters>
        <filter val="yes"/>
      </filters>
    </filterColumn>
  </autoFilter>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09DF0-7BCB-E442-B0AB-1553157B2C93}">
  <dimension ref="A1:I6"/>
  <sheetViews>
    <sheetView zoomScale="150" zoomScaleNormal="150" workbookViewId="0">
      <selection activeCell="D14" sqref="D14"/>
    </sheetView>
  </sheetViews>
  <sheetFormatPr baseColWidth="10" defaultRowHeight="16" x14ac:dyDescent="0.2"/>
  <cols>
    <col min="2" max="2" width="14.6640625" customWidth="1"/>
    <col min="3" max="4" width="49.5" customWidth="1"/>
    <col min="5" max="5" width="22.5" customWidth="1"/>
    <col min="7" max="7" width="17.33203125" customWidth="1"/>
    <col min="8" max="8" width="15.33203125" customWidth="1"/>
  </cols>
  <sheetData>
    <row r="1" spans="1:9" x14ac:dyDescent="0.2">
      <c r="A1" t="s">
        <v>603</v>
      </c>
      <c r="B1" t="s">
        <v>1055</v>
      </c>
      <c r="C1" s="4" t="s">
        <v>557</v>
      </c>
      <c r="D1" s="4" t="s">
        <v>1076</v>
      </c>
      <c r="E1" s="4" t="s">
        <v>1056</v>
      </c>
      <c r="F1" t="s">
        <v>599</v>
      </c>
      <c r="G1" t="s">
        <v>605</v>
      </c>
      <c r="H1" t="s">
        <v>606</v>
      </c>
      <c r="I1" s="4" t="s">
        <v>1060</v>
      </c>
    </row>
    <row r="2" spans="1:9" x14ac:dyDescent="0.2">
      <c r="A2" t="s">
        <v>86</v>
      </c>
      <c r="B2" t="s">
        <v>443</v>
      </c>
      <c r="C2" t="s">
        <v>7</v>
      </c>
      <c r="D2" t="s">
        <v>1058</v>
      </c>
      <c r="E2" t="s">
        <v>1057</v>
      </c>
      <c r="F2" t="s">
        <v>598</v>
      </c>
      <c r="G2">
        <f>B2*(((B2*(1-B2))/(I2^2))-1)</f>
        <v>5.2620000000000058</v>
      </c>
      <c r="H2">
        <f>(1 - B2) * ( ((B2 * (1 - B2)) / (I2^2)) - 1 )</f>
        <v>0.34780810234541648</v>
      </c>
      <c r="I2">
        <f>(B2*0.1)</f>
        <v>9.3799999999999994E-2</v>
      </c>
    </row>
    <row r="3" spans="1:9" x14ac:dyDescent="0.2">
      <c r="A3" t="s">
        <v>87</v>
      </c>
      <c r="B3" t="s">
        <v>443</v>
      </c>
      <c r="C3" t="s">
        <v>9</v>
      </c>
      <c r="D3" t="s">
        <v>1058</v>
      </c>
      <c r="E3" t="s">
        <v>1057</v>
      </c>
      <c r="F3" t="s">
        <v>598</v>
      </c>
      <c r="G3">
        <f>B3*(((B3*(1-B3))/(I3^2))-1)</f>
        <v>5.2620000000000058</v>
      </c>
      <c r="H3">
        <f>(1 - B3) * ( ((B3 * (1 - B3)) / (I3^2)) - 1 )</f>
        <v>0.34780810234541648</v>
      </c>
      <c r="I3">
        <f t="shared" ref="I3:I6" si="0">(B3*0.1)</f>
        <v>9.3799999999999994E-2</v>
      </c>
    </row>
    <row r="4" spans="1:9" x14ac:dyDescent="0.2">
      <c r="A4" t="s">
        <v>88</v>
      </c>
      <c r="B4" t="s">
        <v>443</v>
      </c>
      <c r="C4" t="s">
        <v>13</v>
      </c>
      <c r="D4" t="s">
        <v>1058</v>
      </c>
      <c r="E4" t="s">
        <v>1057</v>
      </c>
      <c r="F4" t="s">
        <v>598</v>
      </c>
      <c r="G4">
        <f>B4*(((B4*(1-B4))/(I4^2))-1)</f>
        <v>5.2620000000000058</v>
      </c>
      <c r="H4">
        <f>(1 - B4) * ( ((B4 * (1 - B4)) / (I4^2)) - 1 )</f>
        <v>0.34780810234541648</v>
      </c>
      <c r="I4">
        <f t="shared" si="0"/>
        <v>9.3799999999999994E-2</v>
      </c>
    </row>
    <row r="5" spans="1:9" x14ac:dyDescent="0.2">
      <c r="A5" t="s">
        <v>89</v>
      </c>
      <c r="B5" t="s">
        <v>443</v>
      </c>
      <c r="C5" t="s">
        <v>17</v>
      </c>
      <c r="D5" t="s">
        <v>1058</v>
      </c>
      <c r="E5" t="s">
        <v>1057</v>
      </c>
      <c r="F5" t="s">
        <v>598</v>
      </c>
      <c r="G5">
        <f>B5*(((B5*(1-B5))/(I5^2))-1)</f>
        <v>5.2620000000000058</v>
      </c>
      <c r="H5">
        <f>(1 - B5) * ( ((B5 * (1 - B5)) / (I5^2)) - 1 )</f>
        <v>0.34780810234541648</v>
      </c>
      <c r="I5">
        <f t="shared" si="0"/>
        <v>9.3799999999999994E-2</v>
      </c>
    </row>
    <row r="6" spans="1:9" x14ac:dyDescent="0.2">
      <c r="A6" t="s">
        <v>90</v>
      </c>
      <c r="B6" t="s">
        <v>443</v>
      </c>
      <c r="C6" t="s">
        <v>25</v>
      </c>
      <c r="D6" t="s">
        <v>1058</v>
      </c>
      <c r="E6" t="s">
        <v>1057</v>
      </c>
      <c r="F6" t="s">
        <v>598</v>
      </c>
      <c r="G6">
        <f>B6*(((B6*(1-B6))/(I6^2))-1)</f>
        <v>5.2620000000000058</v>
      </c>
      <c r="H6">
        <f>(1 - B6) * ( ((B6 * (1 - B6)) / (I6^2)) - 1 )</f>
        <v>0.34780810234541648</v>
      </c>
      <c r="I6">
        <f t="shared" si="0"/>
        <v>9.3799999999999994E-2</v>
      </c>
    </row>
  </sheetData>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38D56-7EAF-334D-BBA1-4A9B138ACE10}">
  <dimension ref="A1:K6"/>
  <sheetViews>
    <sheetView zoomScale="142" zoomScaleNormal="188" workbookViewId="0">
      <selection activeCell="C20" sqref="C20"/>
    </sheetView>
  </sheetViews>
  <sheetFormatPr baseColWidth="10" defaultRowHeight="16" x14ac:dyDescent="0.2"/>
  <cols>
    <col min="2" max="2" width="17" customWidth="1"/>
    <col min="3" max="4" width="81.6640625" customWidth="1"/>
    <col min="5" max="5" width="21.1640625" customWidth="1"/>
    <col min="7" max="7" width="16.83203125" customWidth="1"/>
    <col min="8" max="8" width="16.33203125" customWidth="1"/>
    <col min="9" max="9" width="16.6640625" customWidth="1"/>
    <col min="10" max="10" width="3.33203125" hidden="1" customWidth="1"/>
    <col min="11" max="11" width="18.5" hidden="1" customWidth="1"/>
    <col min="13" max="13" width="16.1640625" customWidth="1"/>
    <col min="14" max="14" width="15.6640625" customWidth="1"/>
  </cols>
  <sheetData>
    <row r="1" spans="1:11" x14ac:dyDescent="0.2">
      <c r="A1" t="s">
        <v>603</v>
      </c>
      <c r="B1" t="s">
        <v>1055</v>
      </c>
      <c r="C1" s="4" t="s">
        <v>557</v>
      </c>
      <c r="D1" s="4" t="s">
        <v>1076</v>
      </c>
      <c r="E1" s="4" t="s">
        <v>1056</v>
      </c>
      <c r="F1" t="s">
        <v>599</v>
      </c>
      <c r="G1" t="s">
        <v>605</v>
      </c>
      <c r="H1" t="s">
        <v>606</v>
      </c>
      <c r="I1" s="4" t="s">
        <v>1060</v>
      </c>
      <c r="J1" s="4"/>
      <c r="K1" s="4"/>
    </row>
    <row r="2" spans="1:11" x14ac:dyDescent="0.2">
      <c r="A2" t="s">
        <v>91</v>
      </c>
      <c r="B2" t="s">
        <v>444</v>
      </c>
      <c r="C2" s="4" t="s">
        <v>5</v>
      </c>
      <c r="D2" s="4" t="s">
        <v>1058</v>
      </c>
      <c r="E2" s="4" t="s">
        <v>1057</v>
      </c>
      <c r="F2" t="s">
        <v>598</v>
      </c>
      <c r="G2">
        <f>B2*(((B2*(1-B2))/(I2^2))-1)</f>
        <v>7.0395999999999983</v>
      </c>
      <c r="H2">
        <f>(1 - B2) * ( ((B2 * (1 - B2)) / (I2^2)) - 1 )</f>
        <v>0.60881373315949572</v>
      </c>
      <c r="I2" s="4">
        <f>(B2*0.1)</f>
        <v>9.2040000000000011E-2</v>
      </c>
      <c r="J2" s="4"/>
      <c r="K2" s="4"/>
    </row>
    <row r="3" spans="1:11" x14ac:dyDescent="0.2">
      <c r="A3" t="s">
        <v>92</v>
      </c>
      <c r="B3" t="s">
        <v>444</v>
      </c>
      <c r="C3" s="4" t="s">
        <v>9</v>
      </c>
      <c r="D3" s="4" t="s">
        <v>1058</v>
      </c>
      <c r="E3" s="4" t="s">
        <v>1057</v>
      </c>
      <c r="F3" t="s">
        <v>598</v>
      </c>
      <c r="G3">
        <f>B3*(((B3*(1-B3))/(I3^2))-1)</f>
        <v>7.0395999999999983</v>
      </c>
      <c r="H3">
        <f>(1 - B3) * ( ((B3 * (1 - B3)) / (I3^2)) - 1 )</f>
        <v>0.60881373315949572</v>
      </c>
      <c r="I3" s="4">
        <f t="shared" ref="I3:I6" si="0">(B3*0.1)</f>
        <v>9.2040000000000011E-2</v>
      </c>
      <c r="J3" s="4"/>
      <c r="K3" s="4"/>
    </row>
    <row r="4" spans="1:11" x14ac:dyDescent="0.2">
      <c r="A4" t="s">
        <v>93</v>
      </c>
      <c r="B4" t="s">
        <v>444</v>
      </c>
      <c r="C4" s="4" t="s">
        <v>13</v>
      </c>
      <c r="D4" s="4" t="s">
        <v>1058</v>
      </c>
      <c r="E4" s="4" t="s">
        <v>1057</v>
      </c>
      <c r="F4" t="s">
        <v>598</v>
      </c>
      <c r="G4">
        <f>B4*(((B4*(1-B4))/(I4^2))-1)</f>
        <v>7.0395999999999983</v>
      </c>
      <c r="H4">
        <f>(1 - B4) * ( ((B4 * (1 - B4)) / (I4^2)) - 1 )</f>
        <v>0.60881373315949572</v>
      </c>
      <c r="I4" s="4">
        <f t="shared" si="0"/>
        <v>9.2040000000000011E-2</v>
      </c>
      <c r="J4" s="4"/>
      <c r="K4" s="4"/>
    </row>
    <row r="5" spans="1:11" x14ac:dyDescent="0.2">
      <c r="A5" t="s">
        <v>94</v>
      </c>
      <c r="B5" t="s">
        <v>444</v>
      </c>
      <c r="C5" s="4" t="s">
        <v>17</v>
      </c>
      <c r="D5" s="4" t="s">
        <v>1058</v>
      </c>
      <c r="E5" s="4" t="s">
        <v>1057</v>
      </c>
      <c r="F5" t="s">
        <v>598</v>
      </c>
      <c r="G5">
        <f>B5*(((B5*(1-B5))/(I5^2))-1)</f>
        <v>7.0395999999999983</v>
      </c>
      <c r="H5">
        <f>(1 - B5) * ( ((B5 * (1 - B5)) / (I5^2)) - 1 )</f>
        <v>0.60881373315949572</v>
      </c>
      <c r="I5" s="4">
        <f t="shared" si="0"/>
        <v>9.2040000000000011E-2</v>
      </c>
      <c r="J5" s="4"/>
      <c r="K5" s="4"/>
    </row>
    <row r="6" spans="1:11" x14ac:dyDescent="0.2">
      <c r="A6" t="s">
        <v>95</v>
      </c>
      <c r="B6" t="s">
        <v>444</v>
      </c>
      <c r="C6" s="4" t="s">
        <v>96</v>
      </c>
      <c r="D6" s="4" t="s">
        <v>1058</v>
      </c>
      <c r="E6" s="4" t="s">
        <v>1057</v>
      </c>
      <c r="F6" t="s">
        <v>598</v>
      </c>
      <c r="G6">
        <f>B6*(((B6*(1-B6))/(I6^2))-1)</f>
        <v>7.0395999999999983</v>
      </c>
      <c r="H6">
        <f>(1 - B6) * ( ((B6 * (1 - B6)) / (I6^2)) - 1 )</f>
        <v>0.60881373315949572</v>
      </c>
      <c r="I6" s="4">
        <f t="shared" si="0"/>
        <v>9.2040000000000011E-2</v>
      </c>
      <c r="J6" s="4"/>
      <c r="K6" s="4"/>
    </row>
  </sheetData>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DDF8F-067D-0549-9597-DC0790CDAFC7}">
  <dimension ref="A1:I10"/>
  <sheetViews>
    <sheetView zoomScale="180" zoomScaleNormal="180" workbookViewId="0">
      <selection activeCell="A2" sqref="A2:A10"/>
    </sheetView>
  </sheetViews>
  <sheetFormatPr baseColWidth="10" defaultRowHeight="16" x14ac:dyDescent="0.2"/>
  <cols>
    <col min="3" max="3" width="56.1640625" customWidth="1"/>
    <col min="4" max="4" width="54.5" customWidth="1"/>
    <col min="5" max="5" width="22.1640625" customWidth="1"/>
    <col min="7" max="7" width="14.83203125" customWidth="1"/>
    <col min="8" max="8" width="15.6640625" customWidth="1"/>
    <col min="11" max="11" width="15" customWidth="1"/>
    <col min="12" max="12" width="13.1640625" customWidth="1"/>
  </cols>
  <sheetData>
    <row r="1" spans="1:9" x14ac:dyDescent="0.2">
      <c r="A1" t="s">
        <v>603</v>
      </c>
      <c r="B1" t="s">
        <v>1055</v>
      </c>
      <c r="C1" s="4" t="s">
        <v>557</v>
      </c>
      <c r="D1" s="4" t="s">
        <v>1076</v>
      </c>
      <c r="E1" s="4" t="s">
        <v>1056</v>
      </c>
      <c r="F1" t="s">
        <v>599</v>
      </c>
      <c r="G1" t="s">
        <v>605</v>
      </c>
      <c r="H1" t="s">
        <v>606</v>
      </c>
      <c r="I1" s="4" t="s">
        <v>1060</v>
      </c>
    </row>
    <row r="2" spans="1:9" x14ac:dyDescent="0.2">
      <c r="A2" t="s">
        <v>97</v>
      </c>
      <c r="B2" t="s">
        <v>443</v>
      </c>
      <c r="C2" t="s">
        <v>5</v>
      </c>
      <c r="D2" t="s">
        <v>1058</v>
      </c>
      <c r="E2" t="s">
        <v>1057</v>
      </c>
      <c r="F2" t="s">
        <v>598</v>
      </c>
      <c r="G2">
        <f t="shared" ref="G2:G10" si="0">B2*(((B2*(1-B2))/(I2^2))-1)</f>
        <v>5.2620000000000058</v>
      </c>
      <c r="H2">
        <f t="shared" ref="H2:H10" si="1">(1 - B2) * ( ((B2 * (1 - B2)) / (I2^2)) - 1 )</f>
        <v>0.34780810234541648</v>
      </c>
      <c r="I2">
        <f>(B2*0.1)</f>
        <v>9.3799999999999994E-2</v>
      </c>
    </row>
    <row r="3" spans="1:9" x14ac:dyDescent="0.2">
      <c r="A3" t="s">
        <v>98</v>
      </c>
      <c r="B3" t="s">
        <v>443</v>
      </c>
      <c r="C3" t="s">
        <v>9</v>
      </c>
      <c r="D3" t="s">
        <v>1058</v>
      </c>
      <c r="E3" t="s">
        <v>1057</v>
      </c>
      <c r="F3" t="s">
        <v>598</v>
      </c>
      <c r="G3">
        <f t="shared" si="0"/>
        <v>5.2620000000000058</v>
      </c>
      <c r="H3">
        <f t="shared" si="1"/>
        <v>0.34780810234541648</v>
      </c>
      <c r="I3">
        <f t="shared" ref="I3:I10" si="2">(B3*0.1)</f>
        <v>9.3799999999999994E-2</v>
      </c>
    </row>
    <row r="4" spans="1:9" x14ac:dyDescent="0.2">
      <c r="A4" t="s">
        <v>99</v>
      </c>
      <c r="B4" t="s">
        <v>443</v>
      </c>
      <c r="C4" t="s">
        <v>13</v>
      </c>
      <c r="D4" t="s">
        <v>1058</v>
      </c>
      <c r="E4" t="s">
        <v>1057</v>
      </c>
      <c r="F4" t="s">
        <v>598</v>
      </c>
      <c r="G4">
        <f t="shared" si="0"/>
        <v>5.2620000000000058</v>
      </c>
      <c r="H4">
        <f t="shared" si="1"/>
        <v>0.34780810234541648</v>
      </c>
      <c r="I4">
        <f t="shared" si="2"/>
        <v>9.3799999999999994E-2</v>
      </c>
    </row>
    <row r="5" spans="1:9" x14ac:dyDescent="0.2">
      <c r="A5" t="s">
        <v>100</v>
      </c>
      <c r="B5" t="s">
        <v>443</v>
      </c>
      <c r="C5" t="s">
        <v>17</v>
      </c>
      <c r="D5" t="s">
        <v>1058</v>
      </c>
      <c r="E5" t="s">
        <v>1057</v>
      </c>
      <c r="F5" t="s">
        <v>598</v>
      </c>
      <c r="G5">
        <f t="shared" si="0"/>
        <v>5.2620000000000058</v>
      </c>
      <c r="H5">
        <f t="shared" si="1"/>
        <v>0.34780810234541648</v>
      </c>
      <c r="I5">
        <f t="shared" si="2"/>
        <v>9.3799999999999994E-2</v>
      </c>
    </row>
    <row r="6" spans="1:9" x14ac:dyDescent="0.2">
      <c r="A6" t="s">
        <v>101</v>
      </c>
      <c r="B6" t="s">
        <v>443</v>
      </c>
      <c r="C6" t="s">
        <v>102</v>
      </c>
      <c r="D6" t="s">
        <v>1058</v>
      </c>
      <c r="E6" t="s">
        <v>1057</v>
      </c>
      <c r="F6" t="s">
        <v>598</v>
      </c>
      <c r="G6">
        <f t="shared" si="0"/>
        <v>5.2620000000000058</v>
      </c>
      <c r="H6">
        <f t="shared" si="1"/>
        <v>0.34780810234541648</v>
      </c>
      <c r="I6">
        <f t="shared" si="2"/>
        <v>9.3799999999999994E-2</v>
      </c>
    </row>
    <row r="7" spans="1:9" x14ac:dyDescent="0.2">
      <c r="A7" t="s">
        <v>103</v>
      </c>
      <c r="B7" t="s">
        <v>445</v>
      </c>
      <c r="C7" t="s">
        <v>104</v>
      </c>
      <c r="D7" t="s">
        <v>1058</v>
      </c>
      <c r="E7" t="s">
        <v>1057</v>
      </c>
      <c r="F7" t="s">
        <v>598</v>
      </c>
      <c r="G7">
        <f t="shared" si="0"/>
        <v>1.0000000000000944E-2</v>
      </c>
      <c r="H7">
        <f t="shared" si="1"/>
        <v>1.0101010101011063E-4</v>
      </c>
      <c r="I7">
        <f t="shared" si="2"/>
        <v>9.9000000000000005E-2</v>
      </c>
    </row>
    <row r="8" spans="1:9" x14ac:dyDescent="0.2">
      <c r="A8" t="s">
        <v>105</v>
      </c>
      <c r="B8" t="s">
        <v>445</v>
      </c>
      <c r="C8" t="s">
        <v>106</v>
      </c>
      <c r="D8" t="s">
        <v>1058</v>
      </c>
      <c r="E8" t="s">
        <v>1057</v>
      </c>
      <c r="F8" t="s">
        <v>598</v>
      </c>
      <c r="G8">
        <f t="shared" si="0"/>
        <v>1.0000000000000944E-2</v>
      </c>
      <c r="H8">
        <f t="shared" si="1"/>
        <v>1.0101010101011063E-4</v>
      </c>
      <c r="I8">
        <f t="shared" si="2"/>
        <v>9.9000000000000005E-2</v>
      </c>
    </row>
    <row r="9" spans="1:9" x14ac:dyDescent="0.2">
      <c r="A9" t="s">
        <v>107</v>
      </c>
      <c r="B9" t="s">
        <v>445</v>
      </c>
      <c r="C9" t="s">
        <v>108</v>
      </c>
      <c r="D9" t="s">
        <v>1058</v>
      </c>
      <c r="E9" t="s">
        <v>1057</v>
      </c>
      <c r="F9" t="s">
        <v>598</v>
      </c>
      <c r="G9">
        <f t="shared" si="0"/>
        <v>1.0000000000000944E-2</v>
      </c>
      <c r="H9">
        <f t="shared" si="1"/>
        <v>1.0101010101011063E-4</v>
      </c>
      <c r="I9">
        <f t="shared" si="2"/>
        <v>9.9000000000000005E-2</v>
      </c>
    </row>
    <row r="10" spans="1:9" x14ac:dyDescent="0.2">
      <c r="A10" t="s">
        <v>109</v>
      </c>
      <c r="B10" t="s">
        <v>445</v>
      </c>
      <c r="C10" t="s">
        <v>110</v>
      </c>
      <c r="D10" t="s">
        <v>1058</v>
      </c>
      <c r="E10" t="s">
        <v>1057</v>
      </c>
      <c r="F10" t="s">
        <v>598</v>
      </c>
      <c r="G10">
        <f t="shared" si="0"/>
        <v>1.0000000000000944E-2</v>
      </c>
      <c r="H10">
        <f t="shared" si="1"/>
        <v>1.0101010101011063E-4</v>
      </c>
      <c r="I10">
        <f t="shared" si="2"/>
        <v>9.9000000000000005E-2</v>
      </c>
    </row>
  </sheetData>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AA2E9-66CD-E246-AC6B-D4CC390FF21F}">
  <dimension ref="A1:J10"/>
  <sheetViews>
    <sheetView zoomScale="133" workbookViewId="0">
      <selection activeCell="A2" sqref="A2:A10"/>
    </sheetView>
  </sheetViews>
  <sheetFormatPr baseColWidth="10" defaultRowHeight="16" x14ac:dyDescent="0.2"/>
  <cols>
    <col min="2" max="3" width="16.83203125" customWidth="1"/>
    <col min="4" max="5" width="53.6640625" customWidth="1"/>
    <col min="6" max="6" width="22.6640625" customWidth="1"/>
    <col min="8" max="8" width="14.6640625" customWidth="1"/>
    <col min="9" max="9" width="15" customWidth="1"/>
    <col min="11" max="11" width="16.1640625" customWidth="1"/>
    <col min="12" max="12" width="14.1640625" customWidth="1"/>
    <col min="13" max="13" width="13.33203125" customWidth="1"/>
  </cols>
  <sheetData>
    <row r="1" spans="1:10" x14ac:dyDescent="0.2">
      <c r="A1" t="s">
        <v>603</v>
      </c>
      <c r="B1" t="s">
        <v>609</v>
      </c>
      <c r="C1" t="s">
        <v>1055</v>
      </c>
      <c r="D1" s="4" t="s">
        <v>557</v>
      </c>
      <c r="E1" s="4" t="s">
        <v>1076</v>
      </c>
      <c r="F1" s="4" t="s">
        <v>1056</v>
      </c>
      <c r="G1" t="s">
        <v>599</v>
      </c>
      <c r="H1" t="s">
        <v>605</v>
      </c>
      <c r="I1" t="s">
        <v>606</v>
      </c>
      <c r="J1" s="4" t="s">
        <v>1060</v>
      </c>
    </row>
    <row r="2" spans="1:10" x14ac:dyDescent="0.2">
      <c r="A2" t="s">
        <v>111</v>
      </c>
      <c r="B2" t="s">
        <v>446</v>
      </c>
      <c r="C2" t="s">
        <v>610</v>
      </c>
      <c r="D2" t="s">
        <v>5</v>
      </c>
      <c r="E2" t="s">
        <v>1058</v>
      </c>
      <c r="F2" t="s">
        <v>1057</v>
      </c>
      <c r="G2" t="s">
        <v>598</v>
      </c>
      <c r="H2">
        <f t="shared" ref="H2:H10" si="0">C2*(((C2*(1-C2))/(J2^2))-1)</f>
        <v>99.040499999999994</v>
      </c>
      <c r="I2">
        <f t="shared" ref="I2:I10" si="1">(1 - C2) * ( ((C2 * (1 - C2)) / (J2^2)) - 1 )</f>
        <v>10326.275289473684</v>
      </c>
      <c r="J2">
        <f>(C2*0.1)</f>
        <v>9.5E-4</v>
      </c>
    </row>
    <row r="3" spans="1:10" x14ac:dyDescent="0.2">
      <c r="A3" t="s">
        <v>112</v>
      </c>
      <c r="B3" t="s">
        <v>447</v>
      </c>
      <c r="C3" t="s">
        <v>611</v>
      </c>
      <c r="D3" t="s">
        <v>9</v>
      </c>
      <c r="E3" t="s">
        <v>1058</v>
      </c>
      <c r="F3" t="s">
        <v>1057</v>
      </c>
      <c r="G3" t="s">
        <v>598</v>
      </c>
      <c r="H3">
        <f t="shared" si="0"/>
        <v>94.242999999999995</v>
      </c>
      <c r="I3">
        <f t="shared" si="1"/>
        <v>1559.1429649122804</v>
      </c>
      <c r="J3">
        <f t="shared" ref="J3:J10" si="2">(C3*0.1)</f>
        <v>5.7000000000000002E-3</v>
      </c>
    </row>
    <row r="4" spans="1:10" x14ac:dyDescent="0.2">
      <c r="A4" t="s">
        <v>113</v>
      </c>
      <c r="B4" t="s">
        <v>447</v>
      </c>
      <c r="C4" t="s">
        <v>611</v>
      </c>
      <c r="D4" t="s">
        <v>13</v>
      </c>
      <c r="E4" t="s">
        <v>1058</v>
      </c>
      <c r="F4" t="s">
        <v>1057</v>
      </c>
      <c r="G4" t="s">
        <v>598</v>
      </c>
      <c r="H4">
        <f t="shared" si="0"/>
        <v>94.242999999999995</v>
      </c>
      <c r="I4">
        <f t="shared" si="1"/>
        <v>1559.1429649122804</v>
      </c>
      <c r="J4">
        <f t="shared" si="2"/>
        <v>5.7000000000000002E-3</v>
      </c>
    </row>
    <row r="5" spans="1:10" x14ac:dyDescent="0.2">
      <c r="A5" t="s">
        <v>114</v>
      </c>
      <c r="B5" t="s">
        <v>448</v>
      </c>
      <c r="C5" t="s">
        <v>612</v>
      </c>
      <c r="D5" t="s">
        <v>17</v>
      </c>
      <c r="E5" t="s">
        <v>1058</v>
      </c>
      <c r="F5" t="s">
        <v>1057</v>
      </c>
      <c r="G5" t="s">
        <v>598</v>
      </c>
      <c r="H5">
        <f t="shared" si="0"/>
        <v>93.283499999999989</v>
      </c>
      <c r="I5">
        <f t="shared" si="1"/>
        <v>1309.4758984962405</v>
      </c>
      <c r="J5">
        <f t="shared" si="2"/>
        <v>6.6500000000000005E-3</v>
      </c>
    </row>
    <row r="6" spans="1:10" x14ac:dyDescent="0.2">
      <c r="A6" t="s">
        <v>115</v>
      </c>
      <c r="B6" t="s">
        <v>446</v>
      </c>
      <c r="C6" t="s">
        <v>610</v>
      </c>
      <c r="D6" t="s">
        <v>102</v>
      </c>
      <c r="E6" t="s">
        <v>1058</v>
      </c>
      <c r="F6" t="s">
        <v>1057</v>
      </c>
      <c r="G6" t="s">
        <v>598</v>
      </c>
      <c r="H6">
        <f t="shared" si="0"/>
        <v>99.040499999999994</v>
      </c>
      <c r="I6">
        <f t="shared" si="1"/>
        <v>10326.275289473684</v>
      </c>
      <c r="J6">
        <f t="shared" si="2"/>
        <v>9.5E-4</v>
      </c>
    </row>
    <row r="7" spans="1:10" x14ac:dyDescent="0.2">
      <c r="A7" t="s">
        <v>116</v>
      </c>
      <c r="B7" t="s">
        <v>449</v>
      </c>
      <c r="C7" t="s">
        <v>449</v>
      </c>
      <c r="D7" t="s">
        <v>117</v>
      </c>
      <c r="E7" t="s">
        <v>1058</v>
      </c>
      <c r="F7" t="s">
        <v>1057</v>
      </c>
      <c r="G7" t="s">
        <v>598</v>
      </c>
      <c r="H7">
        <f t="shared" si="0"/>
        <v>29.300000000000004</v>
      </c>
      <c r="I7">
        <f t="shared" si="1"/>
        <v>12.557142857142862</v>
      </c>
      <c r="J7">
        <f t="shared" si="2"/>
        <v>6.9999999999999993E-2</v>
      </c>
    </row>
    <row r="8" spans="1:10" x14ac:dyDescent="0.2">
      <c r="A8" t="s">
        <v>118</v>
      </c>
      <c r="B8" t="s">
        <v>449</v>
      </c>
      <c r="C8" t="s">
        <v>449</v>
      </c>
      <c r="D8" t="s">
        <v>119</v>
      </c>
      <c r="E8" t="s">
        <v>1058</v>
      </c>
      <c r="F8" t="s">
        <v>1057</v>
      </c>
      <c r="G8" t="s">
        <v>598</v>
      </c>
      <c r="H8">
        <f t="shared" si="0"/>
        <v>29.300000000000004</v>
      </c>
      <c r="I8">
        <f t="shared" si="1"/>
        <v>12.557142857142862</v>
      </c>
      <c r="J8">
        <f t="shared" si="2"/>
        <v>6.9999999999999993E-2</v>
      </c>
    </row>
    <row r="9" spans="1:10" x14ac:dyDescent="0.2">
      <c r="A9" t="s">
        <v>120</v>
      </c>
      <c r="B9" t="s">
        <v>449</v>
      </c>
      <c r="C9" t="s">
        <v>449</v>
      </c>
      <c r="D9" t="s">
        <v>121</v>
      </c>
      <c r="E9" t="s">
        <v>1058</v>
      </c>
      <c r="F9" t="s">
        <v>1057</v>
      </c>
      <c r="G9" t="s">
        <v>598</v>
      </c>
      <c r="H9">
        <f t="shared" si="0"/>
        <v>29.300000000000004</v>
      </c>
      <c r="I9">
        <f t="shared" si="1"/>
        <v>12.557142857142862</v>
      </c>
      <c r="J9">
        <f t="shared" si="2"/>
        <v>6.9999999999999993E-2</v>
      </c>
    </row>
    <row r="10" spans="1:10" x14ac:dyDescent="0.2">
      <c r="A10" t="s">
        <v>122</v>
      </c>
      <c r="B10" t="s">
        <v>449</v>
      </c>
      <c r="C10" t="s">
        <v>449</v>
      </c>
      <c r="D10" t="s">
        <v>123</v>
      </c>
      <c r="E10" t="s">
        <v>1058</v>
      </c>
      <c r="F10" t="s">
        <v>1057</v>
      </c>
      <c r="G10" t="s">
        <v>598</v>
      </c>
      <c r="H10">
        <f t="shared" si="0"/>
        <v>29.300000000000004</v>
      </c>
      <c r="I10">
        <f t="shared" si="1"/>
        <v>12.557142857142862</v>
      </c>
      <c r="J10">
        <f t="shared" si="2"/>
        <v>6.9999999999999993E-2</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7D506-743E-B94C-A520-06C02E722C1F}">
  <dimension ref="A1:K6"/>
  <sheetViews>
    <sheetView zoomScale="160" zoomScaleNormal="160" workbookViewId="0">
      <selection activeCell="C20" sqref="C20"/>
    </sheetView>
  </sheetViews>
  <sheetFormatPr baseColWidth="10" defaultRowHeight="16" x14ac:dyDescent="0.2"/>
  <cols>
    <col min="2" max="2" width="15.6640625" customWidth="1"/>
    <col min="3" max="3" width="80.1640625" customWidth="1"/>
    <col min="4" max="4" width="36" customWidth="1"/>
    <col min="5" max="5" width="23.6640625" customWidth="1"/>
    <col min="7" max="7" width="14" customWidth="1"/>
    <col min="8" max="8" width="13.1640625" customWidth="1"/>
    <col min="13" max="13" width="15" customWidth="1"/>
    <col min="14" max="14" width="13.1640625" customWidth="1"/>
  </cols>
  <sheetData>
    <row r="1" spans="1:11" x14ac:dyDescent="0.2">
      <c r="A1" t="s">
        <v>603</v>
      </c>
      <c r="B1" t="s">
        <v>1055</v>
      </c>
      <c r="C1" s="4" t="s">
        <v>557</v>
      </c>
      <c r="D1" s="4" t="s">
        <v>1076</v>
      </c>
      <c r="E1" s="4" t="s">
        <v>1056</v>
      </c>
      <c r="F1" t="s">
        <v>599</v>
      </c>
      <c r="G1" t="s">
        <v>605</v>
      </c>
      <c r="H1" t="s">
        <v>606</v>
      </c>
      <c r="I1" s="4" t="s">
        <v>1060</v>
      </c>
      <c r="J1" s="4"/>
      <c r="K1" s="4"/>
    </row>
    <row r="2" spans="1:11" x14ac:dyDescent="0.2">
      <c r="A2" t="s">
        <v>124</v>
      </c>
      <c r="B2" t="s">
        <v>450</v>
      </c>
      <c r="C2" t="s">
        <v>5</v>
      </c>
      <c r="D2" t="s">
        <v>1058</v>
      </c>
      <c r="E2" t="s">
        <v>1057</v>
      </c>
      <c r="F2" t="s">
        <v>598</v>
      </c>
      <c r="G2">
        <f>B2*(((B2*(1-B2))/(I2^2))-1)</f>
        <v>4.3732000000000015</v>
      </c>
      <c r="H2">
        <f>(1 - B2) * ( ((B2 * (1 - B2)) / (I2^2)) - 1 )</f>
        <v>0.24572691170257732</v>
      </c>
      <c r="I2">
        <f>(B2*0.1)</f>
        <v>9.468E-2</v>
      </c>
    </row>
    <row r="3" spans="1:11" x14ac:dyDescent="0.2">
      <c r="A3" t="s">
        <v>125</v>
      </c>
      <c r="B3" t="s">
        <v>450</v>
      </c>
      <c r="C3" t="s">
        <v>9</v>
      </c>
      <c r="D3" t="s">
        <v>1058</v>
      </c>
      <c r="E3" t="s">
        <v>1057</v>
      </c>
      <c r="F3" t="s">
        <v>598</v>
      </c>
      <c r="G3">
        <f>B3*(((B3*(1-B3))/(I3^2))-1)</f>
        <v>4.3732000000000015</v>
      </c>
      <c r="H3">
        <f>(1 - B3) * ( ((B3 * (1 - B3)) / (I3^2)) - 1 )</f>
        <v>0.24572691170257732</v>
      </c>
      <c r="I3">
        <f t="shared" ref="I3:I6" si="0">(B3*0.1)</f>
        <v>9.468E-2</v>
      </c>
    </row>
    <row r="4" spans="1:11" x14ac:dyDescent="0.2">
      <c r="A4" t="s">
        <v>126</v>
      </c>
      <c r="B4" t="s">
        <v>450</v>
      </c>
      <c r="C4" t="s">
        <v>13</v>
      </c>
      <c r="D4" t="s">
        <v>1058</v>
      </c>
      <c r="E4" t="s">
        <v>1057</v>
      </c>
      <c r="F4" t="s">
        <v>598</v>
      </c>
      <c r="G4">
        <f>B4*(((B4*(1-B4))/(I4^2))-1)</f>
        <v>4.3732000000000015</v>
      </c>
      <c r="H4">
        <f>(1 - B4) * ( ((B4 * (1 - B4)) / (I4^2)) - 1 )</f>
        <v>0.24572691170257732</v>
      </c>
      <c r="I4">
        <f t="shared" si="0"/>
        <v>9.468E-2</v>
      </c>
    </row>
    <row r="5" spans="1:11" x14ac:dyDescent="0.2">
      <c r="A5" t="s">
        <v>127</v>
      </c>
      <c r="B5" t="s">
        <v>450</v>
      </c>
      <c r="C5" t="s">
        <v>17</v>
      </c>
      <c r="D5" t="s">
        <v>1058</v>
      </c>
      <c r="E5" t="s">
        <v>1057</v>
      </c>
      <c r="F5" t="s">
        <v>598</v>
      </c>
      <c r="G5">
        <f>B5*(((B5*(1-B5))/(I5^2))-1)</f>
        <v>4.3732000000000015</v>
      </c>
      <c r="H5">
        <f>(1 - B5) * ( ((B5 * (1 - B5)) / (I5^2)) - 1 )</f>
        <v>0.24572691170257732</v>
      </c>
      <c r="I5">
        <f t="shared" si="0"/>
        <v>9.468E-2</v>
      </c>
    </row>
    <row r="6" spans="1:11" x14ac:dyDescent="0.2">
      <c r="A6" t="s">
        <v>128</v>
      </c>
      <c r="B6" t="s">
        <v>450</v>
      </c>
      <c r="C6" t="s">
        <v>96</v>
      </c>
      <c r="D6" t="s">
        <v>1058</v>
      </c>
      <c r="E6" t="s">
        <v>1057</v>
      </c>
      <c r="F6" t="s">
        <v>598</v>
      </c>
      <c r="G6">
        <f>B6*(((B6*(1-B6))/(I6^2))-1)</f>
        <v>4.3732000000000015</v>
      </c>
      <c r="H6">
        <f>(1 - B6) * ( ((B6 * (1 - B6)) / (I6^2)) - 1 )</f>
        <v>0.24572691170257732</v>
      </c>
      <c r="I6">
        <f t="shared" si="0"/>
        <v>9.468E-2</v>
      </c>
    </row>
  </sheetData>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B5C65-2141-994F-9E4E-C843864DF25B}">
  <dimension ref="A1:D2"/>
  <sheetViews>
    <sheetView zoomScale="214" workbookViewId="0">
      <selection activeCell="A2" sqref="A2"/>
    </sheetView>
  </sheetViews>
  <sheetFormatPr baseColWidth="10" defaultRowHeight="16" x14ac:dyDescent="0.2"/>
  <cols>
    <col min="2" max="3" width="11.6640625" customWidth="1"/>
    <col min="4" max="4" width="45" customWidth="1"/>
  </cols>
  <sheetData>
    <row r="1" spans="1:4" x14ac:dyDescent="0.2">
      <c r="A1" t="s">
        <v>603</v>
      </c>
      <c r="B1" t="s">
        <v>1055</v>
      </c>
      <c r="C1" t="s">
        <v>1206</v>
      </c>
      <c r="D1" t="s">
        <v>557</v>
      </c>
    </row>
    <row r="2" spans="1:4" x14ac:dyDescent="0.2">
      <c r="A2" t="s">
        <v>1192</v>
      </c>
      <c r="B2">
        <v>0.97599999999999998</v>
      </c>
      <c r="C2" t="s">
        <v>1057</v>
      </c>
      <c r="D2" t="s">
        <v>1203</v>
      </c>
    </row>
  </sheetData>
  <pageMargins left="0.7" right="0.7" top="0.75" bottom="0.75" header="0.3" footer="0.3"/>
  <pageSetup orientation="portrait" horizontalDpi="0" verticalDpi="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53286-88B7-AA44-92B7-6AE780D84AED}">
  <dimension ref="A1:J40"/>
  <sheetViews>
    <sheetView zoomScale="117" workbookViewId="0">
      <selection activeCell="J13" sqref="J13"/>
    </sheetView>
  </sheetViews>
  <sheetFormatPr baseColWidth="10" defaultRowHeight="16" x14ac:dyDescent="0.2"/>
  <cols>
    <col min="2" max="2" width="15.6640625" customWidth="1"/>
    <col min="3" max="3" width="50.33203125" customWidth="1"/>
    <col min="4" max="4" width="25.1640625" customWidth="1"/>
    <col min="5" max="5" width="17.33203125" customWidth="1"/>
    <col min="6" max="6" width="16.1640625" customWidth="1"/>
    <col min="7" max="7" width="14.6640625" customWidth="1"/>
  </cols>
  <sheetData>
    <row r="1" spans="1:10" x14ac:dyDescent="0.2">
      <c r="A1" t="s">
        <v>603</v>
      </c>
      <c r="B1" t="s">
        <v>1055</v>
      </c>
      <c r="C1" t="s">
        <v>557</v>
      </c>
      <c r="D1" t="s">
        <v>1056</v>
      </c>
      <c r="E1" t="s">
        <v>599</v>
      </c>
      <c r="F1" t="s">
        <v>605</v>
      </c>
      <c r="G1" t="s">
        <v>606</v>
      </c>
      <c r="H1" t="s">
        <v>1060</v>
      </c>
    </row>
    <row r="2" spans="1:10" x14ac:dyDescent="0.2">
      <c r="A2" t="s">
        <v>231</v>
      </c>
      <c r="B2">
        <v>0</v>
      </c>
      <c r="C2" t="s">
        <v>232</v>
      </c>
      <c r="D2" t="s">
        <v>1057</v>
      </c>
      <c r="E2" t="s">
        <v>601</v>
      </c>
      <c r="F2">
        <v>0</v>
      </c>
      <c r="G2">
        <v>0</v>
      </c>
      <c r="H2">
        <f>(B2*0.1)</f>
        <v>0</v>
      </c>
    </row>
    <row r="3" spans="1:10" x14ac:dyDescent="0.2">
      <c r="A3" t="s">
        <v>233</v>
      </c>
      <c r="B3">
        <v>0</v>
      </c>
      <c r="C3" t="s">
        <v>234</v>
      </c>
      <c r="D3" t="s">
        <v>1057</v>
      </c>
      <c r="E3" t="s">
        <v>601</v>
      </c>
      <c r="F3">
        <v>0</v>
      </c>
      <c r="G3">
        <v>0</v>
      </c>
      <c r="H3">
        <f t="shared" ref="H3:H40" si="0">(B3*0.1)</f>
        <v>0</v>
      </c>
      <c r="J3" t="s">
        <v>600</v>
      </c>
    </row>
    <row r="4" spans="1:10" x14ac:dyDescent="0.2">
      <c r="A4" t="s">
        <v>235</v>
      </c>
      <c r="B4">
        <v>0</v>
      </c>
      <c r="C4" t="s">
        <v>236</v>
      </c>
      <c r="D4" t="s">
        <v>1057</v>
      </c>
      <c r="E4" t="s">
        <v>601</v>
      </c>
      <c r="F4">
        <v>0</v>
      </c>
      <c r="G4">
        <v>0</v>
      </c>
      <c r="H4">
        <f t="shared" si="0"/>
        <v>0</v>
      </c>
    </row>
    <row r="5" spans="1:10" x14ac:dyDescent="0.2">
      <c r="A5" t="s">
        <v>237</v>
      </c>
      <c r="B5">
        <v>0</v>
      </c>
      <c r="C5" t="s">
        <v>238</v>
      </c>
      <c r="D5" t="s">
        <v>1057</v>
      </c>
      <c r="E5" t="s">
        <v>601</v>
      </c>
      <c r="F5">
        <v>0</v>
      </c>
      <c r="G5">
        <v>0</v>
      </c>
      <c r="H5">
        <f t="shared" si="0"/>
        <v>0</v>
      </c>
    </row>
    <row r="6" spans="1:10" x14ac:dyDescent="0.2">
      <c r="A6" t="s">
        <v>239</v>
      </c>
      <c r="B6">
        <v>0</v>
      </c>
      <c r="C6" t="s">
        <v>240</v>
      </c>
      <c r="D6" t="s">
        <v>1057</v>
      </c>
      <c r="E6" t="s">
        <v>601</v>
      </c>
      <c r="F6">
        <v>0</v>
      </c>
      <c r="G6">
        <v>0</v>
      </c>
      <c r="H6">
        <f t="shared" si="0"/>
        <v>0</v>
      </c>
    </row>
    <row r="7" spans="1:10" x14ac:dyDescent="0.2">
      <c r="A7" t="s">
        <v>241</v>
      </c>
      <c r="B7">
        <v>0</v>
      </c>
      <c r="C7" t="s">
        <v>242</v>
      </c>
      <c r="D7" t="s">
        <v>1057</v>
      </c>
      <c r="E7" t="s">
        <v>601</v>
      </c>
      <c r="F7">
        <v>0</v>
      </c>
      <c r="G7">
        <v>0</v>
      </c>
      <c r="H7">
        <f t="shared" si="0"/>
        <v>0</v>
      </c>
    </row>
    <row r="8" spans="1:10" x14ac:dyDescent="0.2">
      <c r="A8" t="s">
        <v>243</v>
      </c>
      <c r="B8">
        <v>0</v>
      </c>
      <c r="C8" t="s">
        <v>244</v>
      </c>
      <c r="D8" t="s">
        <v>1057</v>
      </c>
      <c r="E8" t="s">
        <v>601</v>
      </c>
      <c r="F8">
        <v>0</v>
      </c>
      <c r="G8">
        <v>0</v>
      </c>
      <c r="H8">
        <f t="shared" si="0"/>
        <v>0</v>
      </c>
    </row>
    <row r="9" spans="1:10" x14ac:dyDescent="0.2">
      <c r="A9" t="s">
        <v>245</v>
      </c>
      <c r="B9">
        <v>0</v>
      </c>
      <c r="C9" t="s">
        <v>246</v>
      </c>
      <c r="D9" t="s">
        <v>1057</v>
      </c>
      <c r="E9" t="s">
        <v>601</v>
      </c>
      <c r="F9">
        <v>0</v>
      </c>
      <c r="G9">
        <v>0</v>
      </c>
      <c r="H9">
        <f t="shared" si="0"/>
        <v>0</v>
      </c>
    </row>
    <row r="10" spans="1:10" x14ac:dyDescent="0.2">
      <c r="A10" t="s">
        <v>247</v>
      </c>
      <c r="B10">
        <v>0</v>
      </c>
      <c r="C10" t="s">
        <v>248</v>
      </c>
      <c r="D10" t="s">
        <v>1057</v>
      </c>
      <c r="E10" t="s">
        <v>601</v>
      </c>
      <c r="F10">
        <v>0</v>
      </c>
      <c r="G10">
        <v>0</v>
      </c>
      <c r="H10">
        <f t="shared" si="0"/>
        <v>0</v>
      </c>
    </row>
    <row r="11" spans="1:10" x14ac:dyDescent="0.2">
      <c r="A11" t="s">
        <v>249</v>
      </c>
      <c r="B11">
        <v>0</v>
      </c>
      <c r="C11" t="s">
        <v>250</v>
      </c>
      <c r="D11" t="s">
        <v>1057</v>
      </c>
      <c r="E11" t="s">
        <v>601</v>
      </c>
      <c r="F11">
        <v>0</v>
      </c>
      <c r="G11">
        <v>0</v>
      </c>
      <c r="H11">
        <f t="shared" si="0"/>
        <v>0</v>
      </c>
    </row>
    <row r="12" spans="1:10" x14ac:dyDescent="0.2">
      <c r="A12" t="s">
        <v>251</v>
      </c>
      <c r="B12">
        <v>0</v>
      </c>
      <c r="C12" t="s">
        <v>252</v>
      </c>
      <c r="D12" t="s">
        <v>1057</v>
      </c>
      <c r="E12" t="s">
        <v>601</v>
      </c>
      <c r="F12">
        <v>0</v>
      </c>
      <c r="G12">
        <v>0</v>
      </c>
      <c r="H12">
        <f t="shared" si="0"/>
        <v>0</v>
      </c>
    </row>
    <row r="13" spans="1:10" x14ac:dyDescent="0.2">
      <c r="A13" t="s">
        <v>253</v>
      </c>
      <c r="B13">
        <v>0</v>
      </c>
      <c r="C13" t="s">
        <v>254</v>
      </c>
      <c r="D13" t="s">
        <v>1057</v>
      </c>
      <c r="E13" t="s">
        <v>601</v>
      </c>
      <c r="F13">
        <v>0</v>
      </c>
      <c r="G13">
        <v>0</v>
      </c>
      <c r="H13">
        <f t="shared" si="0"/>
        <v>0</v>
      </c>
    </row>
    <row r="14" spans="1:10" x14ac:dyDescent="0.2">
      <c r="A14" t="s">
        <v>255</v>
      </c>
      <c r="B14">
        <v>0</v>
      </c>
      <c r="C14" t="s">
        <v>256</v>
      </c>
      <c r="D14" t="s">
        <v>1057</v>
      </c>
      <c r="E14" t="s">
        <v>601</v>
      </c>
      <c r="F14">
        <v>0</v>
      </c>
      <c r="G14">
        <v>0</v>
      </c>
      <c r="H14">
        <f t="shared" si="0"/>
        <v>0</v>
      </c>
    </row>
    <row r="15" spans="1:10" x14ac:dyDescent="0.2">
      <c r="A15" t="s">
        <v>257</v>
      </c>
      <c r="B15">
        <v>0</v>
      </c>
      <c r="C15" t="s">
        <v>258</v>
      </c>
      <c r="D15" t="s">
        <v>1057</v>
      </c>
      <c r="E15" t="s">
        <v>601</v>
      </c>
      <c r="F15">
        <v>0</v>
      </c>
      <c r="G15">
        <v>0</v>
      </c>
      <c r="H15">
        <f t="shared" si="0"/>
        <v>0</v>
      </c>
    </row>
    <row r="16" spans="1:10" x14ac:dyDescent="0.2">
      <c r="A16" t="s">
        <v>259</v>
      </c>
      <c r="B16" s="1">
        <v>66.640335339999993</v>
      </c>
      <c r="C16" t="s">
        <v>260</v>
      </c>
      <c r="D16" t="s">
        <v>1057</v>
      </c>
      <c r="E16" t="s">
        <v>601</v>
      </c>
      <c r="F16">
        <f t="shared" ref="F16:F39" si="1">(B16^2) / (H16^2)</f>
        <v>99.999999999999986</v>
      </c>
      <c r="G16">
        <f t="shared" ref="G16:G39" si="2">(B16^2) / H16</f>
        <v>666.4033533999999</v>
      </c>
      <c r="H16">
        <f t="shared" si="0"/>
        <v>6.6640335339999996</v>
      </c>
    </row>
    <row r="17" spans="1:8" x14ac:dyDescent="0.2">
      <c r="A17" t="s">
        <v>261</v>
      </c>
      <c r="B17" s="1">
        <v>124.1583862</v>
      </c>
      <c r="C17" t="s">
        <v>262</v>
      </c>
      <c r="D17" t="s">
        <v>1057</v>
      </c>
      <c r="E17" t="s">
        <v>601</v>
      </c>
      <c r="F17">
        <f t="shared" si="1"/>
        <v>99.999999999999972</v>
      </c>
      <c r="G17">
        <f t="shared" si="2"/>
        <v>1241.583862</v>
      </c>
      <c r="H17">
        <f t="shared" si="0"/>
        <v>12.415838620000001</v>
      </c>
    </row>
    <row r="18" spans="1:8" x14ac:dyDescent="0.2">
      <c r="A18" t="s">
        <v>263</v>
      </c>
      <c r="B18" s="1">
        <v>326.14050229999998</v>
      </c>
      <c r="C18" t="s">
        <v>264</v>
      </c>
      <c r="D18" t="s">
        <v>1057</v>
      </c>
      <c r="E18" t="s">
        <v>601</v>
      </c>
      <c r="F18">
        <f t="shared" si="1"/>
        <v>100</v>
      </c>
      <c r="G18">
        <f t="shared" si="2"/>
        <v>3261.4050229999998</v>
      </c>
      <c r="H18">
        <f t="shared" si="0"/>
        <v>32.614050229999997</v>
      </c>
    </row>
    <row r="19" spans="1:8" x14ac:dyDescent="0.2">
      <c r="A19" t="s">
        <v>265</v>
      </c>
      <c r="B19" s="1">
        <v>197.57623620000001</v>
      </c>
      <c r="C19" t="s">
        <v>266</v>
      </c>
      <c r="D19" t="s">
        <v>1057</v>
      </c>
      <c r="E19" t="s">
        <v>601</v>
      </c>
      <c r="F19">
        <f t="shared" si="1"/>
        <v>99.999999999999957</v>
      </c>
      <c r="G19">
        <f t="shared" si="2"/>
        <v>1975.7623619999997</v>
      </c>
      <c r="H19">
        <f t="shared" si="0"/>
        <v>19.757623620000004</v>
      </c>
    </row>
    <row r="20" spans="1:8" x14ac:dyDescent="0.2">
      <c r="A20" t="s">
        <v>267</v>
      </c>
      <c r="B20" s="1">
        <v>2.0033443310000001</v>
      </c>
      <c r="C20" t="s">
        <v>268</v>
      </c>
      <c r="D20" t="s">
        <v>1057</v>
      </c>
      <c r="E20" t="s">
        <v>601</v>
      </c>
      <c r="F20">
        <f t="shared" si="1"/>
        <v>100</v>
      </c>
      <c r="G20">
        <f t="shared" si="2"/>
        <v>20.033443309999999</v>
      </c>
      <c r="H20">
        <f t="shared" si="0"/>
        <v>0.20033443310000001</v>
      </c>
    </row>
    <row r="21" spans="1:8" x14ac:dyDescent="0.2">
      <c r="A21" t="s">
        <v>269</v>
      </c>
      <c r="B21" s="1">
        <v>8.7613066279999998</v>
      </c>
      <c r="C21" t="s">
        <v>270</v>
      </c>
      <c r="D21" t="s">
        <v>1057</v>
      </c>
      <c r="E21" t="s">
        <v>601</v>
      </c>
      <c r="F21">
        <f t="shared" si="1"/>
        <v>99.999999999999986</v>
      </c>
      <c r="G21">
        <f t="shared" si="2"/>
        <v>87.613066279999998</v>
      </c>
      <c r="H21">
        <f t="shared" si="0"/>
        <v>0.87613066280000007</v>
      </c>
    </row>
    <row r="22" spans="1:8" x14ac:dyDescent="0.2">
      <c r="A22" t="s">
        <v>271</v>
      </c>
      <c r="B22" s="1">
        <v>8.1301649880000006</v>
      </c>
      <c r="C22" t="s">
        <v>272</v>
      </c>
      <c r="D22" t="s">
        <v>1057</v>
      </c>
      <c r="E22" t="s">
        <v>601</v>
      </c>
      <c r="F22">
        <f t="shared" si="1"/>
        <v>99.999999999999972</v>
      </c>
      <c r="G22">
        <f t="shared" si="2"/>
        <v>81.301649879999999</v>
      </c>
      <c r="H22">
        <f t="shared" si="0"/>
        <v>0.81301649880000015</v>
      </c>
    </row>
    <row r="23" spans="1:8" x14ac:dyDescent="0.2">
      <c r="A23" t="s">
        <v>273</v>
      </c>
      <c r="B23" s="1">
        <v>8.1301649880000006</v>
      </c>
      <c r="C23" t="s">
        <v>274</v>
      </c>
      <c r="D23" t="s">
        <v>1057</v>
      </c>
      <c r="E23" t="s">
        <v>601</v>
      </c>
      <c r="F23">
        <f t="shared" si="1"/>
        <v>99.999999999999972</v>
      </c>
      <c r="G23">
        <f t="shared" si="2"/>
        <v>81.301649879999999</v>
      </c>
      <c r="H23">
        <f t="shared" si="0"/>
        <v>0.81301649880000015</v>
      </c>
    </row>
    <row r="24" spans="1:8" x14ac:dyDescent="0.2">
      <c r="A24" t="s">
        <v>275</v>
      </c>
      <c r="B24" s="1">
        <v>2.0033443310000001</v>
      </c>
      <c r="C24" t="s">
        <v>276</v>
      </c>
      <c r="D24" t="s">
        <v>1057</v>
      </c>
      <c r="E24" t="s">
        <v>601</v>
      </c>
      <c r="F24">
        <f t="shared" si="1"/>
        <v>100</v>
      </c>
      <c r="G24">
        <f t="shared" si="2"/>
        <v>20.033443309999999</v>
      </c>
      <c r="H24">
        <f t="shared" si="0"/>
        <v>0.20033443310000001</v>
      </c>
    </row>
    <row r="25" spans="1:8" x14ac:dyDescent="0.2">
      <c r="A25" t="s">
        <v>277</v>
      </c>
      <c r="B25" s="1">
        <v>8.0202455780000008</v>
      </c>
      <c r="C25" t="s">
        <v>278</v>
      </c>
      <c r="D25" t="s">
        <v>1057</v>
      </c>
      <c r="E25" t="s">
        <v>601</v>
      </c>
      <c r="F25">
        <f t="shared" si="1"/>
        <v>100</v>
      </c>
      <c r="G25">
        <f t="shared" si="2"/>
        <v>80.202455780000008</v>
      </c>
      <c r="H25">
        <f t="shared" si="0"/>
        <v>0.80202455780000015</v>
      </c>
    </row>
    <row r="26" spans="1:8" x14ac:dyDescent="0.2">
      <c r="A26" t="s">
        <v>279</v>
      </c>
      <c r="B26" s="1">
        <v>7.3891039379999999</v>
      </c>
      <c r="C26" t="s">
        <v>280</v>
      </c>
      <c r="D26" t="s">
        <v>1057</v>
      </c>
      <c r="E26" t="s">
        <v>601</v>
      </c>
      <c r="F26">
        <f t="shared" si="1"/>
        <v>99.999999999999986</v>
      </c>
      <c r="G26">
        <f t="shared" si="2"/>
        <v>73.891039379999995</v>
      </c>
      <c r="H26">
        <f t="shared" si="0"/>
        <v>0.73891039380000001</v>
      </c>
    </row>
    <row r="27" spans="1:8" x14ac:dyDescent="0.2">
      <c r="A27" t="s">
        <v>281</v>
      </c>
      <c r="B27" s="1">
        <v>7.3891039379999999</v>
      </c>
      <c r="D27" t="s">
        <v>1057</v>
      </c>
      <c r="E27" t="s">
        <v>601</v>
      </c>
      <c r="F27">
        <f t="shared" si="1"/>
        <v>99.999999999999986</v>
      </c>
      <c r="G27">
        <f t="shared" si="2"/>
        <v>73.891039379999995</v>
      </c>
      <c r="H27">
        <f t="shared" si="0"/>
        <v>0.73891039380000001</v>
      </c>
    </row>
    <row r="28" spans="1:8" x14ac:dyDescent="0.2">
      <c r="A28" t="s">
        <v>282</v>
      </c>
      <c r="B28" s="1">
        <v>1.653509662</v>
      </c>
      <c r="C28" t="s">
        <v>276</v>
      </c>
      <c r="D28" t="s">
        <v>1057</v>
      </c>
      <c r="E28" t="s">
        <v>601</v>
      </c>
      <c r="F28">
        <f t="shared" si="1"/>
        <v>100</v>
      </c>
      <c r="G28">
        <f t="shared" si="2"/>
        <v>16.535096620000001</v>
      </c>
      <c r="H28">
        <f t="shared" si="0"/>
        <v>0.1653509662</v>
      </c>
    </row>
    <row r="29" spans="1:8" x14ac:dyDescent="0.2">
      <c r="A29" t="s">
        <v>283</v>
      </c>
      <c r="B29" s="1">
        <v>5.4768323069999996</v>
      </c>
      <c r="C29" t="s">
        <v>278</v>
      </c>
      <c r="D29" t="s">
        <v>1057</v>
      </c>
      <c r="E29" t="s">
        <v>601</v>
      </c>
      <c r="F29">
        <f t="shared" si="1"/>
        <v>99.999999999999972</v>
      </c>
      <c r="G29">
        <f t="shared" si="2"/>
        <v>54.768323069999994</v>
      </c>
      <c r="H29">
        <f t="shared" si="0"/>
        <v>0.54768323070000002</v>
      </c>
    </row>
    <row r="30" spans="1:8" x14ac:dyDescent="0.2">
      <c r="A30" t="s">
        <v>284</v>
      </c>
      <c r="B30" s="1">
        <v>4.2145490260000003</v>
      </c>
      <c r="C30" t="s">
        <v>280</v>
      </c>
      <c r="D30" t="s">
        <v>1057</v>
      </c>
      <c r="E30" t="s">
        <v>601</v>
      </c>
      <c r="F30">
        <f t="shared" si="1"/>
        <v>99.999999999999986</v>
      </c>
      <c r="G30">
        <f t="shared" si="2"/>
        <v>42.145490260000003</v>
      </c>
      <c r="H30">
        <f t="shared" si="0"/>
        <v>0.42145490260000007</v>
      </c>
    </row>
    <row r="31" spans="1:8" x14ac:dyDescent="0.2">
      <c r="A31" t="s">
        <v>285</v>
      </c>
      <c r="B31" s="1">
        <v>4.2145490260000003</v>
      </c>
      <c r="D31" t="s">
        <v>1057</v>
      </c>
      <c r="E31" t="s">
        <v>601</v>
      </c>
      <c r="F31">
        <f t="shared" si="1"/>
        <v>99.999999999999986</v>
      </c>
      <c r="G31">
        <f t="shared" si="2"/>
        <v>42.145490260000003</v>
      </c>
      <c r="H31">
        <f t="shared" si="0"/>
        <v>0.42145490260000007</v>
      </c>
    </row>
    <row r="32" spans="1:8" x14ac:dyDescent="0.2">
      <c r="A32" t="s">
        <v>286</v>
      </c>
      <c r="B32" s="1">
        <v>1.653509662</v>
      </c>
      <c r="C32" t="s">
        <v>276</v>
      </c>
      <c r="D32" t="s">
        <v>1057</v>
      </c>
      <c r="E32" t="s">
        <v>601</v>
      </c>
      <c r="F32">
        <f t="shared" si="1"/>
        <v>100</v>
      </c>
      <c r="G32">
        <f t="shared" si="2"/>
        <v>16.535096620000001</v>
      </c>
      <c r="H32">
        <f t="shared" si="0"/>
        <v>0.1653509662</v>
      </c>
    </row>
    <row r="33" spans="1:8" x14ac:dyDescent="0.2">
      <c r="A33" t="s">
        <v>287</v>
      </c>
      <c r="B33" s="1">
        <v>5.4768323069999996</v>
      </c>
      <c r="C33" t="s">
        <v>278</v>
      </c>
      <c r="D33" t="s">
        <v>1057</v>
      </c>
      <c r="E33" t="s">
        <v>601</v>
      </c>
      <c r="F33">
        <f t="shared" si="1"/>
        <v>99.999999999999972</v>
      </c>
      <c r="G33">
        <f t="shared" si="2"/>
        <v>54.768323069999994</v>
      </c>
      <c r="H33">
        <f t="shared" si="0"/>
        <v>0.54768323070000002</v>
      </c>
    </row>
    <row r="34" spans="1:8" x14ac:dyDescent="0.2">
      <c r="A34" t="s">
        <v>288</v>
      </c>
      <c r="B34" s="1">
        <v>4.2145490260000003</v>
      </c>
      <c r="C34" t="s">
        <v>280</v>
      </c>
      <c r="D34" t="s">
        <v>1057</v>
      </c>
      <c r="E34" t="s">
        <v>601</v>
      </c>
      <c r="F34">
        <f t="shared" si="1"/>
        <v>99.999999999999986</v>
      </c>
      <c r="G34">
        <f t="shared" si="2"/>
        <v>42.145490260000003</v>
      </c>
      <c r="H34">
        <f t="shared" si="0"/>
        <v>0.42145490260000007</v>
      </c>
    </row>
    <row r="35" spans="1:8" x14ac:dyDescent="0.2">
      <c r="A35" t="s">
        <v>289</v>
      </c>
      <c r="B35" s="1">
        <v>4.2145490260000003</v>
      </c>
      <c r="D35" t="s">
        <v>1057</v>
      </c>
      <c r="E35" t="s">
        <v>601</v>
      </c>
      <c r="F35">
        <f t="shared" si="1"/>
        <v>99.999999999999986</v>
      </c>
      <c r="G35">
        <f t="shared" si="2"/>
        <v>42.145490260000003</v>
      </c>
      <c r="H35">
        <f t="shared" si="0"/>
        <v>0.42145490260000007</v>
      </c>
    </row>
    <row r="36" spans="1:8" x14ac:dyDescent="0.2">
      <c r="A36" t="s">
        <v>290</v>
      </c>
      <c r="B36" s="1">
        <v>1.653509662</v>
      </c>
      <c r="C36" t="s">
        <v>276</v>
      </c>
      <c r="D36" t="s">
        <v>1057</v>
      </c>
      <c r="E36" t="s">
        <v>601</v>
      </c>
      <c r="F36">
        <f t="shared" si="1"/>
        <v>100</v>
      </c>
      <c r="G36">
        <f t="shared" si="2"/>
        <v>16.535096620000001</v>
      </c>
      <c r="H36">
        <f t="shared" si="0"/>
        <v>0.1653509662</v>
      </c>
    </row>
    <row r="37" spans="1:8" x14ac:dyDescent="0.2">
      <c r="A37" t="s">
        <v>291</v>
      </c>
      <c r="B37" s="1">
        <v>2.2797068870000001</v>
      </c>
      <c r="C37" t="s">
        <v>278</v>
      </c>
      <c r="D37" t="s">
        <v>1057</v>
      </c>
      <c r="E37" t="s">
        <v>601</v>
      </c>
      <c r="F37">
        <f t="shared" si="1"/>
        <v>99.999999999999986</v>
      </c>
      <c r="G37">
        <f t="shared" si="2"/>
        <v>22.797068869999997</v>
      </c>
      <c r="H37">
        <f t="shared" si="0"/>
        <v>0.22797068870000003</v>
      </c>
    </row>
    <row r="38" spans="1:8" x14ac:dyDescent="0.2">
      <c r="A38" t="s">
        <v>292</v>
      </c>
      <c r="B38" s="1">
        <v>2.2797068870000001</v>
      </c>
      <c r="C38" t="s">
        <v>280</v>
      </c>
      <c r="D38" t="s">
        <v>1057</v>
      </c>
      <c r="E38" t="s">
        <v>601</v>
      </c>
      <c r="F38">
        <f t="shared" si="1"/>
        <v>99.999999999999986</v>
      </c>
      <c r="G38">
        <f t="shared" si="2"/>
        <v>22.797068869999997</v>
      </c>
      <c r="H38">
        <f t="shared" si="0"/>
        <v>0.22797068870000003</v>
      </c>
    </row>
    <row r="39" spans="1:8" x14ac:dyDescent="0.2">
      <c r="A39" t="s">
        <v>293</v>
      </c>
      <c r="B39" s="1">
        <v>2.2797068870000001</v>
      </c>
      <c r="D39" t="s">
        <v>1057</v>
      </c>
      <c r="E39" t="s">
        <v>601</v>
      </c>
      <c r="F39">
        <f t="shared" si="1"/>
        <v>99.999999999999986</v>
      </c>
      <c r="G39">
        <f t="shared" si="2"/>
        <v>22.797068869999997</v>
      </c>
      <c r="H39">
        <f t="shared" si="0"/>
        <v>0.22797068870000003</v>
      </c>
    </row>
    <row r="40" spans="1:8" x14ac:dyDescent="0.2">
      <c r="A40" t="s">
        <v>294</v>
      </c>
      <c r="B40">
        <v>0</v>
      </c>
      <c r="C40" t="s">
        <v>295</v>
      </c>
      <c r="D40" t="s">
        <v>1057</v>
      </c>
      <c r="E40" t="s">
        <v>601</v>
      </c>
      <c r="F40">
        <v>0</v>
      </c>
      <c r="G40">
        <v>0</v>
      </c>
      <c r="H40">
        <f t="shared" si="0"/>
        <v>0</v>
      </c>
    </row>
  </sheetData>
  <autoFilter ref="A1:H40" xr:uid="{DAD53286-88B7-AA44-92B7-6AE780D84AED}"/>
  <pageMargins left="0.7" right="0.7" top="0.75" bottom="0.75" header="0.3" footer="0.3"/>
  <pageSetup orientation="portrait" horizontalDpi="0" verticalDpi="0"/>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8EE5D-C8A7-764B-8751-52842247C10C}">
  <dimension ref="A1:H40"/>
  <sheetViews>
    <sheetView zoomScale="125" workbookViewId="0">
      <selection activeCell="K11" sqref="K11"/>
    </sheetView>
  </sheetViews>
  <sheetFormatPr baseColWidth="10" defaultRowHeight="16" x14ac:dyDescent="0.2"/>
  <cols>
    <col min="3" max="3" width="36.1640625" customWidth="1"/>
    <col min="4" max="4" width="13" customWidth="1"/>
    <col min="5" max="5" width="13.83203125" customWidth="1"/>
    <col min="6" max="6" width="14.6640625" customWidth="1"/>
    <col min="7" max="7" width="16.6640625" customWidth="1"/>
  </cols>
  <sheetData>
    <row r="1" spans="1:8" x14ac:dyDescent="0.2">
      <c r="A1" t="s">
        <v>603</v>
      </c>
      <c r="B1" t="s">
        <v>1055</v>
      </c>
      <c r="C1" t="s">
        <v>557</v>
      </c>
      <c r="D1" t="s">
        <v>1056</v>
      </c>
      <c r="E1" s="2" t="s">
        <v>599</v>
      </c>
      <c r="F1" t="s">
        <v>605</v>
      </c>
      <c r="G1" t="s">
        <v>606</v>
      </c>
      <c r="H1" t="s">
        <v>1060</v>
      </c>
    </row>
    <row r="2" spans="1:8" x14ac:dyDescent="0.2">
      <c r="A2" t="s">
        <v>317</v>
      </c>
      <c r="B2" t="s">
        <v>527</v>
      </c>
      <c r="C2" t="s">
        <v>318</v>
      </c>
      <c r="D2" t="s">
        <v>1057</v>
      </c>
      <c r="E2" t="s">
        <v>602</v>
      </c>
      <c r="F2">
        <f t="shared" ref="F2:F39" si="0">(B2^2) / (H2^2)</f>
        <v>480.9172052939366</v>
      </c>
      <c r="G2">
        <f t="shared" ref="G2:G39" si="1">(B2^2) / H2</f>
        <v>20.833333333333332</v>
      </c>
      <c r="H2">
        <f>(B2*0.0456)</f>
        <v>4.3319999999999997E-2</v>
      </c>
    </row>
    <row r="3" spans="1:8" x14ac:dyDescent="0.2">
      <c r="A3" t="s">
        <v>319</v>
      </c>
      <c r="B3" t="s">
        <v>527</v>
      </c>
      <c r="C3" t="s">
        <v>320</v>
      </c>
      <c r="D3" t="s">
        <v>1057</v>
      </c>
      <c r="E3" t="s">
        <v>602</v>
      </c>
      <c r="F3">
        <f t="shared" si="0"/>
        <v>480.9172052939366</v>
      </c>
      <c r="G3">
        <f t="shared" si="1"/>
        <v>20.833333333333332</v>
      </c>
      <c r="H3">
        <f t="shared" ref="H3:H40" si="2">(B3*0.0456)</f>
        <v>4.3319999999999997E-2</v>
      </c>
    </row>
    <row r="4" spans="1:8" x14ac:dyDescent="0.2">
      <c r="A4" t="s">
        <v>321</v>
      </c>
      <c r="B4" t="s">
        <v>527</v>
      </c>
      <c r="C4" t="s">
        <v>322</v>
      </c>
      <c r="D4" t="s">
        <v>1057</v>
      </c>
      <c r="E4" t="s">
        <v>602</v>
      </c>
      <c r="F4">
        <f t="shared" si="0"/>
        <v>480.9172052939366</v>
      </c>
      <c r="G4">
        <f t="shared" si="1"/>
        <v>20.833333333333332</v>
      </c>
      <c r="H4">
        <f t="shared" si="2"/>
        <v>4.3319999999999997E-2</v>
      </c>
    </row>
    <row r="5" spans="1:8" x14ac:dyDescent="0.2">
      <c r="A5" t="s">
        <v>323</v>
      </c>
      <c r="B5" t="s">
        <v>527</v>
      </c>
      <c r="C5" t="s">
        <v>324</v>
      </c>
      <c r="D5" t="s">
        <v>1057</v>
      </c>
      <c r="E5" t="s">
        <v>602</v>
      </c>
      <c r="F5">
        <f t="shared" si="0"/>
        <v>480.9172052939366</v>
      </c>
      <c r="G5">
        <f t="shared" si="1"/>
        <v>20.833333333333332</v>
      </c>
      <c r="H5">
        <f t="shared" si="2"/>
        <v>4.3319999999999997E-2</v>
      </c>
    </row>
    <row r="6" spans="1:8" x14ac:dyDescent="0.2">
      <c r="A6" t="s">
        <v>325</v>
      </c>
      <c r="B6" t="s">
        <v>527</v>
      </c>
      <c r="C6" t="s">
        <v>326</v>
      </c>
      <c r="D6" t="s">
        <v>1057</v>
      </c>
      <c r="E6" t="s">
        <v>602</v>
      </c>
      <c r="F6">
        <f t="shared" si="0"/>
        <v>480.9172052939366</v>
      </c>
      <c r="G6">
        <f t="shared" si="1"/>
        <v>20.833333333333332</v>
      </c>
      <c r="H6">
        <f t="shared" si="2"/>
        <v>4.3319999999999997E-2</v>
      </c>
    </row>
    <row r="7" spans="1:8" x14ac:dyDescent="0.2">
      <c r="A7" t="s">
        <v>327</v>
      </c>
      <c r="B7" t="s">
        <v>527</v>
      </c>
      <c r="C7" t="s">
        <v>328</v>
      </c>
      <c r="D7" t="s">
        <v>1057</v>
      </c>
      <c r="E7" t="s">
        <v>602</v>
      </c>
      <c r="F7">
        <f t="shared" si="0"/>
        <v>480.9172052939366</v>
      </c>
      <c r="G7">
        <f t="shared" si="1"/>
        <v>20.833333333333332</v>
      </c>
      <c r="H7">
        <f t="shared" si="2"/>
        <v>4.3319999999999997E-2</v>
      </c>
    </row>
    <row r="8" spans="1:8" x14ac:dyDescent="0.2">
      <c r="A8" t="s">
        <v>329</v>
      </c>
      <c r="B8" t="s">
        <v>527</v>
      </c>
      <c r="C8" t="s">
        <v>330</v>
      </c>
      <c r="D8" t="s">
        <v>1057</v>
      </c>
      <c r="E8" t="s">
        <v>602</v>
      </c>
      <c r="F8">
        <f t="shared" si="0"/>
        <v>480.9172052939366</v>
      </c>
      <c r="G8">
        <f t="shared" si="1"/>
        <v>20.833333333333332</v>
      </c>
      <c r="H8">
        <f t="shared" si="2"/>
        <v>4.3319999999999997E-2</v>
      </c>
    </row>
    <row r="9" spans="1:8" x14ac:dyDescent="0.2">
      <c r="A9" t="s">
        <v>331</v>
      </c>
      <c r="B9" t="s">
        <v>527</v>
      </c>
      <c r="C9" t="s">
        <v>332</v>
      </c>
      <c r="D9" t="s">
        <v>1057</v>
      </c>
      <c r="E9" t="s">
        <v>602</v>
      </c>
      <c r="F9">
        <f t="shared" si="0"/>
        <v>480.9172052939366</v>
      </c>
      <c r="G9">
        <f t="shared" si="1"/>
        <v>20.833333333333332</v>
      </c>
      <c r="H9">
        <f t="shared" si="2"/>
        <v>4.3319999999999997E-2</v>
      </c>
    </row>
    <row r="10" spans="1:8" x14ac:dyDescent="0.2">
      <c r="A10" t="s">
        <v>333</v>
      </c>
      <c r="B10" t="s">
        <v>527</v>
      </c>
      <c r="C10" t="s">
        <v>334</v>
      </c>
      <c r="D10" t="s">
        <v>1057</v>
      </c>
      <c r="E10" t="s">
        <v>602</v>
      </c>
      <c r="F10">
        <f t="shared" si="0"/>
        <v>480.9172052939366</v>
      </c>
      <c r="G10">
        <f t="shared" si="1"/>
        <v>20.833333333333332</v>
      </c>
      <c r="H10">
        <f t="shared" si="2"/>
        <v>4.3319999999999997E-2</v>
      </c>
    </row>
    <row r="11" spans="1:8" x14ac:dyDescent="0.2">
      <c r="A11" t="s">
        <v>335</v>
      </c>
      <c r="B11" t="s">
        <v>527</v>
      </c>
      <c r="C11" t="s">
        <v>336</v>
      </c>
      <c r="D11" t="s">
        <v>1057</v>
      </c>
      <c r="E11" t="s">
        <v>602</v>
      </c>
      <c r="F11">
        <f t="shared" si="0"/>
        <v>480.9172052939366</v>
      </c>
      <c r="G11">
        <f t="shared" si="1"/>
        <v>20.833333333333332</v>
      </c>
      <c r="H11">
        <f t="shared" si="2"/>
        <v>4.3319999999999997E-2</v>
      </c>
    </row>
    <row r="12" spans="1:8" x14ac:dyDescent="0.2">
      <c r="A12" t="s">
        <v>337</v>
      </c>
      <c r="B12" t="s">
        <v>528</v>
      </c>
      <c r="C12" t="s">
        <v>338</v>
      </c>
      <c r="D12" t="s">
        <v>1057</v>
      </c>
      <c r="E12" t="s">
        <v>602</v>
      </c>
      <c r="F12">
        <f t="shared" si="0"/>
        <v>480.91720529393655</v>
      </c>
      <c r="G12">
        <f t="shared" si="1"/>
        <v>17.69736842105263</v>
      </c>
      <c r="H12">
        <f t="shared" si="2"/>
        <v>3.6799200000000004E-2</v>
      </c>
    </row>
    <row r="13" spans="1:8" x14ac:dyDescent="0.2">
      <c r="A13" t="s">
        <v>339</v>
      </c>
      <c r="B13" t="s">
        <v>529</v>
      </c>
      <c r="C13" t="s">
        <v>340</v>
      </c>
      <c r="D13" t="s">
        <v>1057</v>
      </c>
      <c r="E13" t="s">
        <v>602</v>
      </c>
      <c r="F13">
        <f t="shared" si="0"/>
        <v>480.9172052939366</v>
      </c>
      <c r="G13">
        <f t="shared" si="1"/>
        <v>15.87280701754386</v>
      </c>
      <c r="H13">
        <f t="shared" si="2"/>
        <v>3.3005279999999998E-2</v>
      </c>
    </row>
    <row r="14" spans="1:8" x14ac:dyDescent="0.2">
      <c r="A14" t="s">
        <v>341</v>
      </c>
      <c r="B14" t="s">
        <v>530</v>
      </c>
      <c r="C14" t="s">
        <v>342</v>
      </c>
      <c r="D14" t="s">
        <v>1057</v>
      </c>
      <c r="E14" t="s">
        <v>602</v>
      </c>
      <c r="F14">
        <f t="shared" si="0"/>
        <v>480.91720529393655</v>
      </c>
      <c r="G14">
        <f t="shared" si="1"/>
        <v>14.203947368421053</v>
      </c>
      <c r="H14">
        <f t="shared" si="2"/>
        <v>2.9535120000000005E-2</v>
      </c>
    </row>
    <row r="15" spans="1:8" x14ac:dyDescent="0.2">
      <c r="A15" t="s">
        <v>343</v>
      </c>
      <c r="B15" t="s">
        <v>531</v>
      </c>
      <c r="C15" t="s">
        <v>344</v>
      </c>
      <c r="D15" t="s">
        <v>1057</v>
      </c>
      <c r="E15" t="s">
        <v>602</v>
      </c>
      <c r="F15">
        <f t="shared" si="0"/>
        <v>480.91720529393655</v>
      </c>
      <c r="G15">
        <f t="shared" si="1"/>
        <v>11.721491228070175</v>
      </c>
      <c r="H15">
        <f t="shared" si="2"/>
        <v>2.4373200000000001E-2</v>
      </c>
    </row>
    <row r="16" spans="1:8" x14ac:dyDescent="0.2">
      <c r="A16" t="s">
        <v>345</v>
      </c>
      <c r="B16" t="s">
        <v>528</v>
      </c>
      <c r="C16" t="s">
        <v>346</v>
      </c>
      <c r="D16" t="s">
        <v>1057</v>
      </c>
      <c r="E16" t="s">
        <v>602</v>
      </c>
      <c r="F16">
        <f t="shared" si="0"/>
        <v>480.91720529393655</v>
      </c>
      <c r="G16">
        <f t="shared" si="1"/>
        <v>17.69736842105263</v>
      </c>
      <c r="H16">
        <f t="shared" si="2"/>
        <v>3.6799200000000004E-2</v>
      </c>
    </row>
    <row r="17" spans="1:8" x14ac:dyDescent="0.2">
      <c r="A17" t="s">
        <v>347</v>
      </c>
      <c r="B17" t="s">
        <v>529</v>
      </c>
      <c r="C17" t="s">
        <v>348</v>
      </c>
      <c r="D17" t="s">
        <v>1057</v>
      </c>
      <c r="E17" t="s">
        <v>602</v>
      </c>
      <c r="F17">
        <f t="shared" si="0"/>
        <v>480.9172052939366</v>
      </c>
      <c r="G17">
        <f t="shared" si="1"/>
        <v>15.87280701754386</v>
      </c>
      <c r="H17">
        <f t="shared" si="2"/>
        <v>3.3005279999999998E-2</v>
      </c>
    </row>
    <row r="18" spans="1:8" x14ac:dyDescent="0.2">
      <c r="A18" t="s">
        <v>349</v>
      </c>
      <c r="B18" t="s">
        <v>530</v>
      </c>
      <c r="C18" t="s">
        <v>350</v>
      </c>
      <c r="D18" t="s">
        <v>1057</v>
      </c>
      <c r="E18" t="s">
        <v>602</v>
      </c>
      <c r="F18">
        <f t="shared" si="0"/>
        <v>480.91720529393655</v>
      </c>
      <c r="G18">
        <f t="shared" si="1"/>
        <v>14.203947368421053</v>
      </c>
      <c r="H18">
        <f t="shared" si="2"/>
        <v>2.9535120000000005E-2</v>
      </c>
    </row>
    <row r="19" spans="1:8" x14ac:dyDescent="0.2">
      <c r="A19" t="s">
        <v>351</v>
      </c>
      <c r="B19" t="s">
        <v>531</v>
      </c>
      <c r="C19" t="s">
        <v>352</v>
      </c>
      <c r="D19" t="s">
        <v>1057</v>
      </c>
      <c r="E19" t="s">
        <v>602</v>
      </c>
      <c r="F19">
        <f t="shared" si="0"/>
        <v>480.91720529393655</v>
      </c>
      <c r="G19">
        <f t="shared" si="1"/>
        <v>11.721491228070175</v>
      </c>
      <c r="H19">
        <f t="shared" si="2"/>
        <v>2.4373200000000001E-2</v>
      </c>
    </row>
    <row r="20" spans="1:8" x14ac:dyDescent="0.2">
      <c r="A20" t="s">
        <v>353</v>
      </c>
      <c r="B20" t="s">
        <v>528</v>
      </c>
      <c r="C20" t="s">
        <v>354</v>
      </c>
      <c r="D20" t="s">
        <v>1057</v>
      </c>
      <c r="E20" t="s">
        <v>602</v>
      </c>
      <c r="F20">
        <f t="shared" si="0"/>
        <v>480.91720529393655</v>
      </c>
      <c r="G20">
        <f t="shared" si="1"/>
        <v>17.69736842105263</v>
      </c>
      <c r="H20">
        <f t="shared" si="2"/>
        <v>3.6799200000000004E-2</v>
      </c>
    </row>
    <row r="21" spans="1:8" x14ac:dyDescent="0.2">
      <c r="A21" t="s">
        <v>355</v>
      </c>
      <c r="B21" t="s">
        <v>529</v>
      </c>
      <c r="C21" t="s">
        <v>356</v>
      </c>
      <c r="D21" t="s">
        <v>1057</v>
      </c>
      <c r="E21" t="s">
        <v>602</v>
      </c>
      <c r="F21">
        <f t="shared" si="0"/>
        <v>480.9172052939366</v>
      </c>
      <c r="G21">
        <f t="shared" si="1"/>
        <v>15.87280701754386</v>
      </c>
      <c r="H21">
        <f t="shared" si="2"/>
        <v>3.3005279999999998E-2</v>
      </c>
    </row>
    <row r="22" spans="1:8" x14ac:dyDescent="0.2">
      <c r="A22" t="s">
        <v>357</v>
      </c>
      <c r="B22" t="s">
        <v>530</v>
      </c>
      <c r="C22" t="s">
        <v>358</v>
      </c>
      <c r="D22" t="s">
        <v>1057</v>
      </c>
      <c r="E22" t="s">
        <v>602</v>
      </c>
      <c r="F22">
        <f t="shared" si="0"/>
        <v>480.91720529393655</v>
      </c>
      <c r="G22">
        <f t="shared" si="1"/>
        <v>14.203947368421053</v>
      </c>
      <c r="H22">
        <f t="shared" si="2"/>
        <v>2.9535120000000005E-2</v>
      </c>
    </row>
    <row r="23" spans="1:8" x14ac:dyDescent="0.2">
      <c r="A23" t="s">
        <v>359</v>
      </c>
      <c r="B23" t="s">
        <v>531</v>
      </c>
      <c r="C23" t="s">
        <v>360</v>
      </c>
      <c r="D23" t="s">
        <v>1057</v>
      </c>
      <c r="E23" t="s">
        <v>602</v>
      </c>
      <c r="F23">
        <f t="shared" si="0"/>
        <v>480.91720529393655</v>
      </c>
      <c r="G23">
        <f t="shared" si="1"/>
        <v>11.721491228070175</v>
      </c>
      <c r="H23">
        <f t="shared" si="2"/>
        <v>2.4373200000000001E-2</v>
      </c>
    </row>
    <row r="24" spans="1:8" x14ac:dyDescent="0.2">
      <c r="A24" t="s">
        <v>361</v>
      </c>
      <c r="B24" t="s">
        <v>528</v>
      </c>
      <c r="C24" t="s">
        <v>362</v>
      </c>
      <c r="D24" t="s">
        <v>1057</v>
      </c>
      <c r="E24" t="s">
        <v>602</v>
      </c>
      <c r="F24">
        <f t="shared" si="0"/>
        <v>480.91720529393655</v>
      </c>
      <c r="G24">
        <f t="shared" si="1"/>
        <v>17.69736842105263</v>
      </c>
      <c r="H24">
        <f t="shared" si="2"/>
        <v>3.6799200000000004E-2</v>
      </c>
    </row>
    <row r="25" spans="1:8" x14ac:dyDescent="0.2">
      <c r="A25" t="s">
        <v>363</v>
      </c>
      <c r="B25" t="s">
        <v>529</v>
      </c>
      <c r="C25" t="s">
        <v>364</v>
      </c>
      <c r="D25" t="s">
        <v>1057</v>
      </c>
      <c r="E25" t="s">
        <v>602</v>
      </c>
      <c r="F25">
        <f t="shared" si="0"/>
        <v>480.9172052939366</v>
      </c>
      <c r="G25">
        <f t="shared" si="1"/>
        <v>15.87280701754386</v>
      </c>
      <c r="H25">
        <f t="shared" si="2"/>
        <v>3.3005279999999998E-2</v>
      </c>
    </row>
    <row r="26" spans="1:8" x14ac:dyDescent="0.2">
      <c r="A26" t="s">
        <v>365</v>
      </c>
      <c r="B26" t="s">
        <v>530</v>
      </c>
      <c r="C26" t="s">
        <v>366</v>
      </c>
      <c r="D26" t="s">
        <v>1057</v>
      </c>
      <c r="E26" t="s">
        <v>602</v>
      </c>
      <c r="F26">
        <f t="shared" si="0"/>
        <v>480.91720529393655</v>
      </c>
      <c r="G26">
        <f t="shared" si="1"/>
        <v>14.203947368421053</v>
      </c>
      <c r="H26">
        <f t="shared" si="2"/>
        <v>2.9535120000000005E-2</v>
      </c>
    </row>
    <row r="27" spans="1:8" x14ac:dyDescent="0.2">
      <c r="A27" t="s">
        <v>367</v>
      </c>
      <c r="B27" t="s">
        <v>531</v>
      </c>
      <c r="C27" t="s">
        <v>368</v>
      </c>
      <c r="D27" t="s">
        <v>1057</v>
      </c>
      <c r="E27" t="s">
        <v>602</v>
      </c>
      <c r="F27">
        <f t="shared" si="0"/>
        <v>480.91720529393655</v>
      </c>
      <c r="G27">
        <f t="shared" si="1"/>
        <v>11.721491228070175</v>
      </c>
      <c r="H27">
        <f t="shared" si="2"/>
        <v>2.4373200000000001E-2</v>
      </c>
    </row>
    <row r="28" spans="1:8" x14ac:dyDescent="0.2">
      <c r="A28" t="s">
        <v>369</v>
      </c>
      <c r="B28" t="s">
        <v>528</v>
      </c>
      <c r="C28" t="s">
        <v>362</v>
      </c>
      <c r="D28" t="s">
        <v>1057</v>
      </c>
      <c r="E28" t="s">
        <v>602</v>
      </c>
      <c r="F28">
        <f t="shared" si="0"/>
        <v>480.91720529393655</v>
      </c>
      <c r="G28">
        <f t="shared" si="1"/>
        <v>17.69736842105263</v>
      </c>
      <c r="H28">
        <f t="shared" si="2"/>
        <v>3.6799200000000004E-2</v>
      </c>
    </row>
    <row r="29" spans="1:8" x14ac:dyDescent="0.2">
      <c r="A29" t="s">
        <v>370</v>
      </c>
      <c r="B29" t="s">
        <v>529</v>
      </c>
      <c r="C29" t="s">
        <v>364</v>
      </c>
      <c r="D29" t="s">
        <v>1057</v>
      </c>
      <c r="E29" t="s">
        <v>602</v>
      </c>
      <c r="F29">
        <f t="shared" si="0"/>
        <v>480.9172052939366</v>
      </c>
      <c r="G29">
        <f t="shared" si="1"/>
        <v>15.87280701754386</v>
      </c>
      <c r="H29">
        <f t="shared" si="2"/>
        <v>3.3005279999999998E-2</v>
      </c>
    </row>
    <row r="30" spans="1:8" x14ac:dyDescent="0.2">
      <c r="A30" t="s">
        <v>371</v>
      </c>
      <c r="B30" t="s">
        <v>530</v>
      </c>
      <c r="C30" t="s">
        <v>366</v>
      </c>
      <c r="D30" t="s">
        <v>1057</v>
      </c>
      <c r="E30" t="s">
        <v>602</v>
      </c>
      <c r="F30">
        <f t="shared" si="0"/>
        <v>480.91720529393655</v>
      </c>
      <c r="G30">
        <f t="shared" si="1"/>
        <v>14.203947368421053</v>
      </c>
      <c r="H30">
        <f t="shared" si="2"/>
        <v>2.9535120000000005E-2</v>
      </c>
    </row>
    <row r="31" spans="1:8" x14ac:dyDescent="0.2">
      <c r="A31" t="s">
        <v>372</v>
      </c>
      <c r="B31" t="s">
        <v>531</v>
      </c>
      <c r="C31" t="s">
        <v>368</v>
      </c>
      <c r="D31" t="s">
        <v>1057</v>
      </c>
      <c r="E31" t="s">
        <v>602</v>
      </c>
      <c r="F31">
        <f t="shared" si="0"/>
        <v>480.91720529393655</v>
      </c>
      <c r="G31">
        <f t="shared" si="1"/>
        <v>11.721491228070175</v>
      </c>
      <c r="H31">
        <f t="shared" si="2"/>
        <v>2.4373200000000001E-2</v>
      </c>
    </row>
    <row r="32" spans="1:8" x14ac:dyDescent="0.2">
      <c r="A32" t="s">
        <v>373</v>
      </c>
      <c r="B32" t="s">
        <v>528</v>
      </c>
      <c r="C32" t="s">
        <v>362</v>
      </c>
      <c r="D32" t="s">
        <v>1057</v>
      </c>
      <c r="E32" t="s">
        <v>602</v>
      </c>
      <c r="F32">
        <f t="shared" si="0"/>
        <v>480.91720529393655</v>
      </c>
      <c r="G32">
        <f t="shared" si="1"/>
        <v>17.69736842105263</v>
      </c>
      <c r="H32">
        <f t="shared" si="2"/>
        <v>3.6799200000000004E-2</v>
      </c>
    </row>
    <row r="33" spans="1:8" x14ac:dyDescent="0.2">
      <c r="A33" t="s">
        <v>374</v>
      </c>
      <c r="B33" t="s">
        <v>529</v>
      </c>
      <c r="C33" t="s">
        <v>364</v>
      </c>
      <c r="D33" t="s">
        <v>1057</v>
      </c>
      <c r="E33" t="s">
        <v>602</v>
      </c>
      <c r="F33">
        <f t="shared" si="0"/>
        <v>480.9172052939366</v>
      </c>
      <c r="G33">
        <f t="shared" si="1"/>
        <v>15.87280701754386</v>
      </c>
      <c r="H33">
        <f t="shared" si="2"/>
        <v>3.3005279999999998E-2</v>
      </c>
    </row>
    <row r="34" spans="1:8" x14ac:dyDescent="0.2">
      <c r="A34" t="s">
        <v>375</v>
      </c>
      <c r="B34" t="s">
        <v>530</v>
      </c>
      <c r="C34" t="s">
        <v>366</v>
      </c>
      <c r="D34" t="s">
        <v>1057</v>
      </c>
      <c r="E34" t="s">
        <v>602</v>
      </c>
      <c r="F34">
        <f t="shared" si="0"/>
        <v>480.91720529393655</v>
      </c>
      <c r="G34">
        <f t="shared" si="1"/>
        <v>14.203947368421053</v>
      </c>
      <c r="H34">
        <f t="shared" si="2"/>
        <v>2.9535120000000005E-2</v>
      </c>
    </row>
    <row r="35" spans="1:8" x14ac:dyDescent="0.2">
      <c r="A35" t="s">
        <v>376</v>
      </c>
      <c r="B35" t="s">
        <v>531</v>
      </c>
      <c r="C35" t="s">
        <v>368</v>
      </c>
      <c r="D35" t="s">
        <v>1057</v>
      </c>
      <c r="E35" t="s">
        <v>602</v>
      </c>
      <c r="F35">
        <f t="shared" si="0"/>
        <v>480.91720529393655</v>
      </c>
      <c r="G35">
        <f t="shared" si="1"/>
        <v>11.721491228070175</v>
      </c>
      <c r="H35">
        <f t="shared" si="2"/>
        <v>2.4373200000000001E-2</v>
      </c>
    </row>
    <row r="36" spans="1:8" x14ac:dyDescent="0.2">
      <c r="A36" t="s">
        <v>377</v>
      </c>
      <c r="B36" t="s">
        <v>528</v>
      </c>
      <c r="C36" t="s">
        <v>362</v>
      </c>
      <c r="D36" t="s">
        <v>1057</v>
      </c>
      <c r="E36" t="s">
        <v>602</v>
      </c>
      <c r="F36">
        <f t="shared" si="0"/>
        <v>480.91720529393655</v>
      </c>
      <c r="G36">
        <f t="shared" si="1"/>
        <v>17.69736842105263</v>
      </c>
      <c r="H36">
        <f t="shared" si="2"/>
        <v>3.6799200000000004E-2</v>
      </c>
    </row>
    <row r="37" spans="1:8" x14ac:dyDescent="0.2">
      <c r="A37" t="s">
        <v>378</v>
      </c>
      <c r="B37" t="s">
        <v>529</v>
      </c>
      <c r="C37" t="s">
        <v>364</v>
      </c>
      <c r="D37" t="s">
        <v>1057</v>
      </c>
      <c r="E37" t="s">
        <v>602</v>
      </c>
      <c r="F37">
        <f t="shared" si="0"/>
        <v>480.9172052939366</v>
      </c>
      <c r="G37">
        <f t="shared" si="1"/>
        <v>15.87280701754386</v>
      </c>
      <c r="H37">
        <f t="shared" si="2"/>
        <v>3.3005279999999998E-2</v>
      </c>
    </row>
    <row r="38" spans="1:8" x14ac:dyDescent="0.2">
      <c r="A38" t="s">
        <v>379</v>
      </c>
      <c r="B38" t="s">
        <v>530</v>
      </c>
      <c r="C38" t="s">
        <v>366</v>
      </c>
      <c r="D38" t="s">
        <v>1057</v>
      </c>
      <c r="E38" t="s">
        <v>602</v>
      </c>
      <c r="F38">
        <f t="shared" si="0"/>
        <v>480.91720529393655</v>
      </c>
      <c r="G38">
        <f t="shared" si="1"/>
        <v>14.203947368421053</v>
      </c>
      <c r="H38">
        <f t="shared" si="2"/>
        <v>2.9535120000000005E-2</v>
      </c>
    </row>
    <row r="39" spans="1:8" x14ac:dyDescent="0.2">
      <c r="A39" t="s">
        <v>380</v>
      </c>
      <c r="B39" t="s">
        <v>531</v>
      </c>
      <c r="C39" t="s">
        <v>368</v>
      </c>
      <c r="D39" t="s">
        <v>1057</v>
      </c>
      <c r="E39" t="s">
        <v>602</v>
      </c>
      <c r="F39">
        <f t="shared" si="0"/>
        <v>480.91720529393655</v>
      </c>
      <c r="G39">
        <f t="shared" si="1"/>
        <v>11.721491228070175</v>
      </c>
      <c r="H39">
        <f t="shared" si="2"/>
        <v>2.4373200000000001E-2</v>
      </c>
    </row>
    <row r="40" spans="1:8" x14ac:dyDescent="0.2">
      <c r="A40" t="s">
        <v>381</v>
      </c>
      <c r="B40">
        <v>0</v>
      </c>
      <c r="C40" t="s">
        <v>382</v>
      </c>
      <c r="D40" t="s">
        <v>1057</v>
      </c>
      <c r="E40" t="s">
        <v>602</v>
      </c>
      <c r="F40">
        <v>0</v>
      </c>
      <c r="G40">
        <v>0</v>
      </c>
      <c r="H40">
        <f t="shared" si="2"/>
        <v>0</v>
      </c>
    </row>
  </sheetData>
  <pageMargins left="0.7" right="0.7" top="0.75" bottom="0.75" header="0.3" footer="0.3"/>
  <pageSetup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40946-EF80-0B46-A2D4-BCDD1AC1A938}">
  <dimension ref="A1:H27"/>
  <sheetViews>
    <sheetView zoomScale="150" workbookViewId="0">
      <selection activeCell="A2" sqref="A2:A13"/>
    </sheetView>
  </sheetViews>
  <sheetFormatPr baseColWidth="10" defaultRowHeight="16" x14ac:dyDescent="0.2"/>
  <cols>
    <col min="2" max="2" width="16.83203125" customWidth="1"/>
    <col min="3" max="3" width="50.83203125" customWidth="1"/>
    <col min="4" max="4" width="16.83203125" customWidth="1"/>
    <col min="6" max="6" width="15.1640625" customWidth="1"/>
    <col min="7" max="7" width="15" customWidth="1"/>
  </cols>
  <sheetData>
    <row r="1" spans="1:8" x14ac:dyDescent="0.2">
      <c r="A1" t="s">
        <v>603</v>
      </c>
      <c r="B1" t="s">
        <v>1055</v>
      </c>
      <c r="C1" t="s">
        <v>557</v>
      </c>
      <c r="D1" t="s">
        <v>1056</v>
      </c>
      <c r="E1" s="2" t="s">
        <v>599</v>
      </c>
      <c r="F1" t="s">
        <v>605</v>
      </c>
      <c r="G1" t="s">
        <v>606</v>
      </c>
      <c r="H1" t="s">
        <v>1060</v>
      </c>
    </row>
    <row r="2" spans="1:8" x14ac:dyDescent="0.2">
      <c r="A2" t="s">
        <v>383</v>
      </c>
      <c r="B2">
        <v>0.55000000000000004</v>
      </c>
      <c r="C2" t="s">
        <v>389</v>
      </c>
      <c r="D2" t="s">
        <v>1057</v>
      </c>
      <c r="E2" t="s">
        <v>598</v>
      </c>
      <c r="F2">
        <f>B2*(((B2*(1-B2))/(H2^2))-1)</f>
        <v>44.449999999999996</v>
      </c>
      <c r="G2">
        <f>(1 - B2) * ( ((B2 * (1 - B2)) / (H2^2)) - 1 )</f>
        <v>36.368181818181803</v>
      </c>
      <c r="H2">
        <f>(B2*0.1)</f>
        <v>5.5000000000000007E-2</v>
      </c>
    </row>
    <row r="3" spans="1:8" x14ac:dyDescent="0.2">
      <c r="A3" t="s">
        <v>384</v>
      </c>
      <c r="B3">
        <v>0.25</v>
      </c>
      <c r="C3" t="s">
        <v>390</v>
      </c>
      <c r="D3" t="s">
        <v>1057</v>
      </c>
      <c r="E3" t="s">
        <v>598</v>
      </c>
      <c r="F3">
        <f t="shared" ref="F3:F13" si="0">B3*(((B3*(1-B3))/(H3^2))-1)</f>
        <v>74.749999999999986</v>
      </c>
      <c r="G3">
        <f t="shared" ref="G3:G13" si="1">(1 - B3) * ( ((B3 * (1 - B3)) / (H3^2)) - 1 )</f>
        <v>224.24999999999994</v>
      </c>
      <c r="H3">
        <f t="shared" ref="H3:H13" si="2">(B3*0.1)</f>
        <v>2.5000000000000001E-2</v>
      </c>
    </row>
    <row r="4" spans="1:8" x14ac:dyDescent="0.2">
      <c r="A4" t="s">
        <v>385</v>
      </c>
      <c r="B4">
        <v>0.35</v>
      </c>
      <c r="C4" t="s">
        <v>391</v>
      </c>
      <c r="D4" t="s">
        <v>1057</v>
      </c>
      <c r="E4" t="s">
        <v>598</v>
      </c>
      <c r="F4">
        <f t="shared" si="0"/>
        <v>64.650000000000006</v>
      </c>
      <c r="G4">
        <f t="shared" si="1"/>
        <v>120.06428571428575</v>
      </c>
      <c r="H4">
        <f t="shared" si="2"/>
        <v>3.4999999999999996E-2</v>
      </c>
    </row>
    <row r="5" spans="1:8" x14ac:dyDescent="0.2">
      <c r="A5" t="s">
        <v>386</v>
      </c>
      <c r="B5">
        <v>0.9</v>
      </c>
      <c r="C5" t="s">
        <v>392</v>
      </c>
      <c r="D5" t="s">
        <v>1057</v>
      </c>
      <c r="E5" t="s">
        <v>598</v>
      </c>
      <c r="F5">
        <f t="shared" si="0"/>
        <v>9.0999999999999961</v>
      </c>
      <c r="G5">
        <f t="shared" si="1"/>
        <v>1.0111111111111104</v>
      </c>
      <c r="H5">
        <f t="shared" si="2"/>
        <v>9.0000000000000011E-2</v>
      </c>
    </row>
    <row r="6" spans="1:8" x14ac:dyDescent="0.2">
      <c r="A6" t="s">
        <v>387</v>
      </c>
      <c r="B6">
        <v>0.18</v>
      </c>
      <c r="C6" t="s">
        <v>393</v>
      </c>
      <c r="D6" t="s">
        <v>1057</v>
      </c>
      <c r="E6" t="s">
        <v>598</v>
      </c>
      <c r="F6">
        <f t="shared" si="0"/>
        <v>81.820000000000022</v>
      </c>
      <c r="G6">
        <f t="shared" si="1"/>
        <v>372.73555555555566</v>
      </c>
      <c r="H6">
        <f t="shared" si="2"/>
        <v>1.7999999999999999E-2</v>
      </c>
    </row>
    <row r="7" spans="1:8" x14ac:dyDescent="0.2">
      <c r="A7" t="s">
        <v>388</v>
      </c>
      <c r="B7">
        <v>0.09</v>
      </c>
      <c r="C7" t="s">
        <v>394</v>
      </c>
      <c r="D7" t="s">
        <v>1057</v>
      </c>
      <c r="E7" t="s">
        <v>598</v>
      </c>
      <c r="F7">
        <f t="shared" si="0"/>
        <v>90.910000000000011</v>
      </c>
      <c r="G7">
        <f t="shared" si="1"/>
        <v>919.20111111111123</v>
      </c>
      <c r="H7">
        <f t="shared" si="2"/>
        <v>8.9999999999999993E-3</v>
      </c>
    </row>
    <row r="8" spans="1:8" x14ac:dyDescent="0.2">
      <c r="A8" t="s">
        <v>1118</v>
      </c>
      <c r="B8">
        <v>0.85000000000000009</v>
      </c>
      <c r="C8" t="s">
        <v>1114</v>
      </c>
      <c r="D8" t="s">
        <v>1057</v>
      </c>
      <c r="E8" t="s">
        <v>598</v>
      </c>
      <c r="F8">
        <f t="shared" si="0"/>
        <v>14.149999999999988</v>
      </c>
      <c r="G8">
        <f t="shared" si="1"/>
        <v>2.4970588235294078</v>
      </c>
      <c r="H8">
        <f t="shared" si="2"/>
        <v>8.500000000000002E-2</v>
      </c>
    </row>
    <row r="9" spans="1:8" x14ac:dyDescent="0.2">
      <c r="A9" t="s">
        <v>1119</v>
      </c>
      <c r="B9">
        <v>0.8</v>
      </c>
      <c r="C9" t="s">
        <v>1115</v>
      </c>
      <c r="D9" t="s">
        <v>1057</v>
      </c>
      <c r="E9" t="s">
        <v>598</v>
      </c>
      <c r="F9">
        <f t="shared" si="0"/>
        <v>19.199999999999989</v>
      </c>
      <c r="G9">
        <f t="shared" si="1"/>
        <v>4.7999999999999963</v>
      </c>
      <c r="H9">
        <f t="shared" si="2"/>
        <v>8.0000000000000016E-2</v>
      </c>
    </row>
    <row r="10" spans="1:8" x14ac:dyDescent="0.2">
      <c r="A10" t="s">
        <v>1120</v>
      </c>
      <c r="B10">
        <v>0.4</v>
      </c>
      <c r="C10" t="s">
        <v>1116</v>
      </c>
      <c r="D10" t="s">
        <v>1057</v>
      </c>
      <c r="E10" t="s">
        <v>598</v>
      </c>
      <c r="F10">
        <f t="shared" si="0"/>
        <v>59.599999999999966</v>
      </c>
      <c r="G10">
        <f t="shared" si="1"/>
        <v>89.399999999999949</v>
      </c>
      <c r="H10">
        <f t="shared" si="2"/>
        <v>4.0000000000000008E-2</v>
      </c>
    </row>
    <row r="11" spans="1:8" x14ac:dyDescent="0.2">
      <c r="A11" t="s">
        <v>1121</v>
      </c>
      <c r="B11">
        <v>0.75</v>
      </c>
      <c r="C11" t="s">
        <v>1117</v>
      </c>
      <c r="D11" t="s">
        <v>1057</v>
      </c>
      <c r="E11" t="s">
        <v>598</v>
      </c>
      <c r="F11">
        <f t="shared" si="0"/>
        <v>24.249999999999993</v>
      </c>
      <c r="G11">
        <f t="shared" si="1"/>
        <v>8.0833333333333304</v>
      </c>
      <c r="H11">
        <f t="shared" si="2"/>
        <v>7.5000000000000011E-2</v>
      </c>
    </row>
    <row r="12" spans="1:8" x14ac:dyDescent="0.2">
      <c r="A12" t="s">
        <v>1123</v>
      </c>
      <c r="B12">
        <v>0.65</v>
      </c>
      <c r="C12" t="s">
        <v>1126</v>
      </c>
      <c r="D12" t="s">
        <v>1057</v>
      </c>
      <c r="E12" t="s">
        <v>598</v>
      </c>
      <c r="F12">
        <f t="shared" si="0"/>
        <v>34.349999999999994</v>
      </c>
      <c r="G12">
        <f t="shared" si="1"/>
        <v>18.496153846153842</v>
      </c>
      <c r="H12">
        <f t="shared" si="2"/>
        <v>6.5000000000000002E-2</v>
      </c>
    </row>
    <row r="13" spans="1:8" x14ac:dyDescent="0.2">
      <c r="A13" t="s">
        <v>1124</v>
      </c>
      <c r="B13">
        <v>0.75</v>
      </c>
      <c r="C13" t="s">
        <v>1125</v>
      </c>
      <c r="D13" t="s">
        <v>1057</v>
      </c>
      <c r="E13" t="s">
        <v>598</v>
      </c>
      <c r="F13">
        <f t="shared" si="0"/>
        <v>24.249999999999993</v>
      </c>
      <c r="G13">
        <f t="shared" si="1"/>
        <v>8.0833333333333304</v>
      </c>
      <c r="H13">
        <f t="shared" si="2"/>
        <v>7.5000000000000011E-2</v>
      </c>
    </row>
    <row r="18" spans="1:5" x14ac:dyDescent="0.2">
      <c r="A18" t="s">
        <v>1104</v>
      </c>
      <c r="B18" t="s">
        <v>1127</v>
      </c>
    </row>
    <row r="20" spans="1:5" x14ac:dyDescent="0.2">
      <c r="C20" t="s">
        <v>1105</v>
      </c>
      <c r="D20" t="s">
        <v>1106</v>
      </c>
      <c r="E20" t="s">
        <v>1107</v>
      </c>
    </row>
    <row r="21" spans="1:5" x14ac:dyDescent="0.2">
      <c r="A21" t="s">
        <v>1111</v>
      </c>
      <c r="B21" t="s">
        <v>1112</v>
      </c>
      <c r="C21">
        <v>0.85000000000000009</v>
      </c>
      <c r="D21">
        <v>0.8</v>
      </c>
      <c r="E21">
        <v>0.9</v>
      </c>
    </row>
    <row r="22" spans="1:5" x14ac:dyDescent="0.2">
      <c r="B22" t="s">
        <v>1113</v>
      </c>
      <c r="C22">
        <v>0.8</v>
      </c>
      <c r="D22">
        <v>0.7</v>
      </c>
      <c r="E22">
        <v>0.9</v>
      </c>
    </row>
    <row r="23" spans="1:5" x14ac:dyDescent="0.2">
      <c r="A23" t="s">
        <v>1122</v>
      </c>
      <c r="B23" t="s">
        <v>1112</v>
      </c>
      <c r="C23">
        <v>0.4</v>
      </c>
      <c r="D23">
        <v>0.3</v>
      </c>
      <c r="E23">
        <v>0.5</v>
      </c>
    </row>
    <row r="24" spans="1:5" x14ac:dyDescent="0.2">
      <c r="B24" t="s">
        <v>1113</v>
      </c>
      <c r="C24">
        <v>0.75</v>
      </c>
      <c r="D24">
        <v>0.7</v>
      </c>
      <c r="E24">
        <v>0.8</v>
      </c>
    </row>
    <row r="25" spans="1:5" x14ac:dyDescent="0.2">
      <c r="A25" t="s">
        <v>554</v>
      </c>
      <c r="C25">
        <v>0.89999999999999991</v>
      </c>
      <c r="D25">
        <v>0.85</v>
      </c>
      <c r="E25">
        <v>0.95</v>
      </c>
    </row>
    <row r="26" spans="1:5" x14ac:dyDescent="0.2">
      <c r="A26" t="s">
        <v>1108</v>
      </c>
      <c r="B26" t="s">
        <v>1109</v>
      </c>
      <c r="C26">
        <v>0.64999999999999991</v>
      </c>
      <c r="D26">
        <v>0.6</v>
      </c>
      <c r="E26">
        <v>0.7</v>
      </c>
    </row>
    <row r="27" spans="1:5" x14ac:dyDescent="0.2">
      <c r="B27" t="s">
        <v>1110</v>
      </c>
      <c r="C27">
        <v>0.75</v>
      </c>
      <c r="D27">
        <v>0.7</v>
      </c>
      <c r="E27">
        <v>0.8</v>
      </c>
    </row>
  </sheetData>
  <pageMargins left="0.7" right="0.7" top="0.75" bottom="0.75" header="0.3" footer="0.3"/>
  <pageSetup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4AF86-B76A-7042-A4C5-64814FADBB8F}">
  <dimension ref="A1:H9"/>
  <sheetViews>
    <sheetView zoomScale="177" workbookViewId="0">
      <selection activeCell="A2" sqref="A2:A9"/>
    </sheetView>
  </sheetViews>
  <sheetFormatPr baseColWidth="10" defaultRowHeight="16" x14ac:dyDescent="0.2"/>
  <cols>
    <col min="2" max="2" width="15.83203125" customWidth="1"/>
    <col min="3" max="3" width="51.83203125" customWidth="1"/>
    <col min="4" max="4" width="16.1640625" customWidth="1"/>
    <col min="6" max="6" width="14" customWidth="1"/>
    <col min="7" max="7" width="14.6640625" customWidth="1"/>
  </cols>
  <sheetData>
    <row r="1" spans="1:8" x14ac:dyDescent="0.2">
      <c r="A1" t="s">
        <v>603</v>
      </c>
      <c r="B1" t="s">
        <v>1055</v>
      </c>
      <c r="C1" t="s">
        <v>557</v>
      </c>
      <c r="D1" t="s">
        <v>1056</v>
      </c>
      <c r="E1" s="2" t="s">
        <v>599</v>
      </c>
      <c r="F1" t="s">
        <v>605</v>
      </c>
      <c r="G1" t="s">
        <v>606</v>
      </c>
      <c r="H1" t="s">
        <v>1060</v>
      </c>
    </row>
    <row r="2" spans="1:8" x14ac:dyDescent="0.2">
      <c r="A2" t="s">
        <v>302</v>
      </c>
      <c r="B2" t="s">
        <v>520</v>
      </c>
      <c r="C2" t="s">
        <v>303</v>
      </c>
      <c r="D2" t="s">
        <v>1057</v>
      </c>
      <c r="E2" t="s">
        <v>601</v>
      </c>
      <c r="F2">
        <f t="shared" ref="F2:F9" si="0">(B2^2) / (H2^2)</f>
        <v>99.999999999999972</v>
      </c>
      <c r="G2">
        <f t="shared" ref="G2:G9" si="1">(B2^2) / H2</f>
        <v>2.8129879999999998</v>
      </c>
      <c r="H2">
        <f>(B2*0.1)</f>
        <v>2.8129880000000003E-2</v>
      </c>
    </row>
    <row r="3" spans="1:8" x14ac:dyDescent="0.2">
      <c r="A3" t="s">
        <v>304</v>
      </c>
      <c r="B3" t="s">
        <v>521</v>
      </c>
      <c r="C3" t="s">
        <v>305</v>
      </c>
      <c r="D3" t="s">
        <v>1057</v>
      </c>
      <c r="E3" t="s">
        <v>601</v>
      </c>
      <c r="F3">
        <f t="shared" si="0"/>
        <v>100.00000000000001</v>
      </c>
      <c r="G3">
        <f t="shared" si="1"/>
        <v>2.7537672000000004</v>
      </c>
      <c r="H3">
        <f t="shared" ref="H3:H9" si="2">(B3*0.1)</f>
        <v>2.7537672000000003E-2</v>
      </c>
    </row>
    <row r="4" spans="1:8" x14ac:dyDescent="0.2">
      <c r="A4" t="s">
        <v>306</v>
      </c>
      <c r="B4" t="s">
        <v>520</v>
      </c>
      <c r="C4" t="s">
        <v>307</v>
      </c>
      <c r="D4" t="s">
        <v>1057</v>
      </c>
      <c r="E4" t="s">
        <v>601</v>
      </c>
      <c r="F4">
        <f t="shared" si="0"/>
        <v>99.999999999999972</v>
      </c>
      <c r="G4">
        <f t="shared" si="1"/>
        <v>2.8129879999999998</v>
      </c>
      <c r="H4">
        <f t="shared" si="2"/>
        <v>2.8129880000000003E-2</v>
      </c>
    </row>
    <row r="5" spans="1:8" x14ac:dyDescent="0.2">
      <c r="A5" t="s">
        <v>308</v>
      </c>
      <c r="B5" t="s">
        <v>522</v>
      </c>
      <c r="D5" t="s">
        <v>1057</v>
      </c>
      <c r="E5" t="s">
        <v>601</v>
      </c>
      <c r="F5">
        <f t="shared" si="0"/>
        <v>100</v>
      </c>
      <c r="G5">
        <f t="shared" si="1"/>
        <v>0.17067958660000002</v>
      </c>
      <c r="H5">
        <f t="shared" si="2"/>
        <v>1.7067958660000001E-3</v>
      </c>
    </row>
    <row r="6" spans="1:8" x14ac:dyDescent="0.2">
      <c r="A6" t="s">
        <v>309</v>
      </c>
      <c r="B6" t="s">
        <v>523</v>
      </c>
      <c r="C6" t="s">
        <v>310</v>
      </c>
      <c r="D6" t="s">
        <v>1057</v>
      </c>
      <c r="E6" t="s">
        <v>601</v>
      </c>
      <c r="F6">
        <f t="shared" si="0"/>
        <v>99.999999999999986</v>
      </c>
      <c r="G6">
        <f t="shared" si="1"/>
        <v>2.6436165119999999</v>
      </c>
      <c r="H6">
        <f t="shared" si="2"/>
        <v>2.6436165120000001E-2</v>
      </c>
    </row>
    <row r="7" spans="1:8" x14ac:dyDescent="0.2">
      <c r="A7" t="s">
        <v>311</v>
      </c>
      <c r="B7" t="s">
        <v>524</v>
      </c>
      <c r="C7" t="s">
        <v>312</v>
      </c>
      <c r="D7" t="s">
        <v>1057</v>
      </c>
      <c r="E7" t="s">
        <v>601</v>
      </c>
      <c r="F7">
        <f t="shared" si="0"/>
        <v>100</v>
      </c>
      <c r="G7">
        <f t="shared" si="1"/>
        <v>0.14805199999999999</v>
      </c>
      <c r="H7">
        <f t="shared" si="2"/>
        <v>1.4805199999999999E-3</v>
      </c>
    </row>
    <row r="8" spans="1:8" x14ac:dyDescent="0.2">
      <c r="A8" t="s">
        <v>313</v>
      </c>
      <c r="B8" t="s">
        <v>525</v>
      </c>
      <c r="C8" t="s">
        <v>314</v>
      </c>
      <c r="D8" t="s">
        <v>1057</v>
      </c>
      <c r="E8" t="s">
        <v>601</v>
      </c>
      <c r="F8">
        <f t="shared" si="0"/>
        <v>100</v>
      </c>
      <c r="G8">
        <f t="shared" si="1"/>
        <v>0.73637400000000008</v>
      </c>
      <c r="H8">
        <f t="shared" si="2"/>
        <v>7.3637400000000006E-3</v>
      </c>
    </row>
    <row r="9" spans="1:8" x14ac:dyDescent="0.2">
      <c r="A9" t="s">
        <v>315</v>
      </c>
      <c r="B9" t="s">
        <v>526</v>
      </c>
      <c r="C9" t="s">
        <v>316</v>
      </c>
      <c r="D9" t="s">
        <v>1057</v>
      </c>
      <c r="E9" t="s">
        <v>601</v>
      </c>
      <c r="F9">
        <f t="shared" si="0"/>
        <v>100</v>
      </c>
      <c r="G9">
        <f t="shared" si="1"/>
        <v>0.67559328000000007</v>
      </c>
      <c r="H9">
        <f t="shared" si="2"/>
        <v>6.7559328000000004E-3</v>
      </c>
    </row>
  </sheetData>
  <pageMargins left="0.7" right="0.7" top="0.75" bottom="0.75" header="0.3" footer="0.3"/>
  <pageSetup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4AA94-28ED-D741-AC58-34D7EA196226}">
  <dimension ref="A1:D2"/>
  <sheetViews>
    <sheetView zoomScale="170" workbookViewId="0">
      <selection activeCell="C12" sqref="C12"/>
    </sheetView>
  </sheetViews>
  <sheetFormatPr baseColWidth="10" defaultRowHeight="16" x14ac:dyDescent="0.2"/>
  <cols>
    <col min="3" max="3" width="55.6640625" customWidth="1"/>
  </cols>
  <sheetData>
    <row r="1" spans="1:4" x14ac:dyDescent="0.2">
      <c r="A1" t="s">
        <v>603</v>
      </c>
      <c r="B1" t="s">
        <v>1055</v>
      </c>
      <c r="C1" t="s">
        <v>557</v>
      </c>
      <c r="D1" t="s">
        <v>1056</v>
      </c>
    </row>
    <row r="2" spans="1:4" x14ac:dyDescent="0.2">
      <c r="A2" t="s">
        <v>1204</v>
      </c>
      <c r="B2">
        <v>0.03</v>
      </c>
      <c r="C2" t="s">
        <v>1205</v>
      </c>
      <c r="D2" t="s">
        <v>1057</v>
      </c>
    </row>
  </sheetData>
  <pageMargins left="0.7" right="0.7" top="0.75" bottom="0.75" header="0.3" footer="0.3"/>
  <pageSetup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53906-1399-4D49-80EA-1341E5F6C063}">
  <dimension ref="A1:G39"/>
  <sheetViews>
    <sheetView topLeftCell="A15" zoomScale="170" zoomScaleNormal="170" workbookViewId="0">
      <selection activeCell="G32" sqref="G32"/>
    </sheetView>
  </sheetViews>
  <sheetFormatPr baseColWidth="10" defaultRowHeight="16" x14ac:dyDescent="0.2"/>
  <cols>
    <col min="2" max="2" width="14.5" customWidth="1"/>
    <col min="3" max="3" width="42.83203125" customWidth="1"/>
    <col min="4" max="4" width="15.6640625" customWidth="1"/>
  </cols>
  <sheetData>
    <row r="1" spans="1:7" x14ac:dyDescent="0.2">
      <c r="A1" t="s">
        <v>603</v>
      </c>
      <c r="B1" t="s">
        <v>1055</v>
      </c>
      <c r="C1" t="s">
        <v>557</v>
      </c>
      <c r="D1" t="s">
        <v>1056</v>
      </c>
      <c r="E1" t="s">
        <v>599</v>
      </c>
      <c r="F1" t="s">
        <v>605</v>
      </c>
      <c r="G1" t="s">
        <v>606</v>
      </c>
    </row>
    <row r="2" spans="1:7" x14ac:dyDescent="0.2">
      <c r="A2" t="s">
        <v>676</v>
      </c>
      <c r="B2" t="s">
        <v>677</v>
      </c>
      <c r="C2" t="s">
        <v>678</v>
      </c>
      <c r="D2" t="s">
        <v>1057</v>
      </c>
      <c r="E2" t="s">
        <v>598</v>
      </c>
    </row>
    <row r="3" spans="1:7" x14ac:dyDescent="0.2">
      <c r="A3" t="s">
        <v>679</v>
      </c>
      <c r="B3" t="s">
        <v>677</v>
      </c>
      <c r="C3" t="s">
        <v>189</v>
      </c>
      <c r="D3" t="s">
        <v>1057</v>
      </c>
      <c r="E3" t="s">
        <v>598</v>
      </c>
    </row>
    <row r="4" spans="1:7" x14ac:dyDescent="0.2">
      <c r="A4" t="s">
        <v>680</v>
      </c>
      <c r="B4" t="s">
        <v>677</v>
      </c>
      <c r="C4" t="s">
        <v>187</v>
      </c>
      <c r="D4" t="s">
        <v>1057</v>
      </c>
      <c r="E4" t="s">
        <v>598</v>
      </c>
    </row>
    <row r="5" spans="1:7" x14ac:dyDescent="0.2">
      <c r="A5" t="s">
        <v>681</v>
      </c>
      <c r="B5" t="s">
        <v>677</v>
      </c>
      <c r="C5" t="s">
        <v>185</v>
      </c>
      <c r="D5" t="s">
        <v>1057</v>
      </c>
      <c r="E5" t="s">
        <v>598</v>
      </c>
    </row>
    <row r="6" spans="1:7" x14ac:dyDescent="0.2">
      <c r="A6" t="s">
        <v>682</v>
      </c>
      <c r="B6" t="s">
        <v>677</v>
      </c>
      <c r="C6" t="s">
        <v>183</v>
      </c>
      <c r="D6" t="s">
        <v>1057</v>
      </c>
      <c r="E6" t="s">
        <v>598</v>
      </c>
    </row>
    <row r="7" spans="1:7" x14ac:dyDescent="0.2">
      <c r="A7" t="s">
        <v>683</v>
      </c>
      <c r="B7" t="s">
        <v>677</v>
      </c>
      <c r="C7" t="s">
        <v>181</v>
      </c>
      <c r="D7" t="s">
        <v>1057</v>
      </c>
      <c r="E7" t="s">
        <v>598</v>
      </c>
    </row>
    <row r="8" spans="1:7" x14ac:dyDescent="0.2">
      <c r="A8" t="s">
        <v>684</v>
      </c>
      <c r="B8" t="s">
        <v>677</v>
      </c>
      <c r="C8" t="s">
        <v>179</v>
      </c>
      <c r="D8" t="s">
        <v>1057</v>
      </c>
      <c r="E8" t="s">
        <v>598</v>
      </c>
    </row>
    <row r="9" spans="1:7" x14ac:dyDescent="0.2">
      <c r="A9" t="s">
        <v>685</v>
      </c>
      <c r="B9" t="s">
        <v>677</v>
      </c>
      <c r="C9" t="s">
        <v>177</v>
      </c>
      <c r="D9" t="s">
        <v>1057</v>
      </c>
      <c r="E9" t="s">
        <v>598</v>
      </c>
    </row>
    <row r="10" spans="1:7" x14ac:dyDescent="0.2">
      <c r="A10" t="s">
        <v>686</v>
      </c>
      <c r="B10" t="s">
        <v>677</v>
      </c>
      <c r="C10" t="s">
        <v>175</v>
      </c>
      <c r="D10" t="s">
        <v>1057</v>
      </c>
      <c r="E10" t="s">
        <v>598</v>
      </c>
    </row>
    <row r="11" spans="1:7" x14ac:dyDescent="0.2">
      <c r="A11" t="s">
        <v>687</v>
      </c>
      <c r="B11" t="s">
        <v>677</v>
      </c>
      <c r="C11" t="s">
        <v>173</v>
      </c>
      <c r="D11" t="s">
        <v>1057</v>
      </c>
      <c r="E11" t="s">
        <v>598</v>
      </c>
    </row>
    <row r="12" spans="1:7" x14ac:dyDescent="0.2">
      <c r="A12" t="s">
        <v>688</v>
      </c>
      <c r="B12" t="s">
        <v>689</v>
      </c>
      <c r="C12" t="s">
        <v>171</v>
      </c>
      <c r="D12" t="s">
        <v>1057</v>
      </c>
      <c r="E12" t="s">
        <v>598</v>
      </c>
    </row>
    <row r="13" spans="1:7" x14ac:dyDescent="0.2">
      <c r="A13" t="s">
        <v>690</v>
      </c>
      <c r="B13" t="s">
        <v>691</v>
      </c>
      <c r="C13" t="s">
        <v>169</v>
      </c>
      <c r="D13" t="s">
        <v>1057</v>
      </c>
      <c r="E13" t="s">
        <v>598</v>
      </c>
    </row>
    <row r="14" spans="1:7" x14ac:dyDescent="0.2">
      <c r="A14" t="s">
        <v>692</v>
      </c>
      <c r="B14" t="s">
        <v>693</v>
      </c>
      <c r="C14" t="s">
        <v>167</v>
      </c>
      <c r="D14" t="s">
        <v>1057</v>
      </c>
      <c r="E14" t="s">
        <v>598</v>
      </c>
    </row>
    <row r="15" spans="1:7" x14ac:dyDescent="0.2">
      <c r="A15" t="s">
        <v>694</v>
      </c>
      <c r="B15" t="s">
        <v>695</v>
      </c>
      <c r="C15" t="s">
        <v>165</v>
      </c>
      <c r="D15" t="s">
        <v>1057</v>
      </c>
      <c r="E15" t="s">
        <v>598</v>
      </c>
    </row>
    <row r="16" spans="1:7" x14ac:dyDescent="0.2">
      <c r="A16" t="s">
        <v>696</v>
      </c>
      <c r="B16" t="s">
        <v>689</v>
      </c>
      <c r="C16" t="s">
        <v>163</v>
      </c>
      <c r="D16" t="s">
        <v>1057</v>
      </c>
      <c r="E16" t="s">
        <v>598</v>
      </c>
    </row>
    <row r="17" spans="1:5" x14ac:dyDescent="0.2">
      <c r="A17" t="s">
        <v>697</v>
      </c>
      <c r="B17" t="s">
        <v>691</v>
      </c>
      <c r="C17" t="s">
        <v>161</v>
      </c>
      <c r="D17" t="s">
        <v>1057</v>
      </c>
      <c r="E17" t="s">
        <v>598</v>
      </c>
    </row>
    <row r="18" spans="1:5" x14ac:dyDescent="0.2">
      <c r="A18" t="s">
        <v>698</v>
      </c>
      <c r="B18" t="s">
        <v>693</v>
      </c>
      <c r="C18" t="s">
        <v>159</v>
      </c>
      <c r="D18" t="s">
        <v>1057</v>
      </c>
      <c r="E18" t="s">
        <v>598</v>
      </c>
    </row>
    <row r="19" spans="1:5" x14ac:dyDescent="0.2">
      <c r="A19" t="s">
        <v>699</v>
      </c>
      <c r="B19" t="s">
        <v>695</v>
      </c>
      <c r="C19" t="s">
        <v>157</v>
      </c>
      <c r="D19" t="s">
        <v>1057</v>
      </c>
      <c r="E19" t="s">
        <v>598</v>
      </c>
    </row>
    <row r="20" spans="1:5" x14ac:dyDescent="0.2">
      <c r="A20" t="s">
        <v>700</v>
      </c>
      <c r="B20" t="s">
        <v>701</v>
      </c>
      <c r="C20" t="s">
        <v>155</v>
      </c>
      <c r="D20" t="s">
        <v>1057</v>
      </c>
      <c r="E20" t="s">
        <v>598</v>
      </c>
    </row>
    <row r="21" spans="1:5" x14ac:dyDescent="0.2">
      <c r="A21" t="s">
        <v>702</v>
      </c>
      <c r="B21" t="s">
        <v>703</v>
      </c>
      <c r="C21" t="s">
        <v>153</v>
      </c>
      <c r="D21" t="s">
        <v>1057</v>
      </c>
      <c r="E21" t="s">
        <v>598</v>
      </c>
    </row>
    <row r="22" spans="1:5" x14ac:dyDescent="0.2">
      <c r="A22" t="s">
        <v>704</v>
      </c>
      <c r="B22" t="s">
        <v>705</v>
      </c>
      <c r="C22" t="s">
        <v>151</v>
      </c>
      <c r="D22" t="s">
        <v>1057</v>
      </c>
      <c r="E22" t="s">
        <v>598</v>
      </c>
    </row>
    <row r="23" spans="1:5" x14ac:dyDescent="0.2">
      <c r="A23" t="s">
        <v>706</v>
      </c>
      <c r="B23" t="s">
        <v>707</v>
      </c>
      <c r="C23" t="s">
        <v>149</v>
      </c>
      <c r="D23" t="s">
        <v>1057</v>
      </c>
      <c r="E23" t="s">
        <v>598</v>
      </c>
    </row>
    <row r="24" spans="1:5" x14ac:dyDescent="0.2">
      <c r="A24" t="s">
        <v>708</v>
      </c>
      <c r="B24" t="s">
        <v>709</v>
      </c>
      <c r="C24" t="s">
        <v>147</v>
      </c>
      <c r="D24" t="s">
        <v>1057</v>
      </c>
      <c r="E24" t="s">
        <v>598</v>
      </c>
    </row>
    <row r="25" spans="1:5" x14ac:dyDescent="0.2">
      <c r="A25" t="s">
        <v>710</v>
      </c>
      <c r="B25" t="s">
        <v>711</v>
      </c>
      <c r="C25" t="s">
        <v>145</v>
      </c>
      <c r="D25" t="s">
        <v>1057</v>
      </c>
      <c r="E25" t="s">
        <v>598</v>
      </c>
    </row>
    <row r="26" spans="1:5" x14ac:dyDescent="0.2">
      <c r="A26" t="s">
        <v>712</v>
      </c>
      <c r="B26" t="s">
        <v>713</v>
      </c>
      <c r="C26" t="s">
        <v>143</v>
      </c>
      <c r="D26" t="s">
        <v>1057</v>
      </c>
      <c r="E26" t="s">
        <v>598</v>
      </c>
    </row>
    <row r="27" spans="1:5" x14ac:dyDescent="0.2">
      <c r="A27" t="s">
        <v>714</v>
      </c>
      <c r="B27" t="s">
        <v>715</v>
      </c>
      <c r="C27" t="s">
        <v>141</v>
      </c>
      <c r="D27" t="s">
        <v>1057</v>
      </c>
      <c r="E27" t="s">
        <v>598</v>
      </c>
    </row>
    <row r="28" spans="1:5" x14ac:dyDescent="0.2">
      <c r="A28" t="s">
        <v>716</v>
      </c>
      <c r="B28" t="s">
        <v>717</v>
      </c>
      <c r="C28" t="s">
        <v>147</v>
      </c>
      <c r="D28" t="s">
        <v>1057</v>
      </c>
      <c r="E28" t="s">
        <v>598</v>
      </c>
    </row>
    <row r="29" spans="1:5" x14ac:dyDescent="0.2">
      <c r="A29" t="s">
        <v>718</v>
      </c>
      <c r="B29" t="s">
        <v>719</v>
      </c>
      <c r="C29" t="s">
        <v>145</v>
      </c>
      <c r="D29" t="s">
        <v>1057</v>
      </c>
      <c r="E29" t="s">
        <v>598</v>
      </c>
    </row>
    <row r="30" spans="1:5" x14ac:dyDescent="0.2">
      <c r="A30" t="s">
        <v>720</v>
      </c>
      <c r="B30" t="s">
        <v>721</v>
      </c>
      <c r="C30" t="s">
        <v>143</v>
      </c>
      <c r="D30" t="s">
        <v>1057</v>
      </c>
      <c r="E30" t="s">
        <v>598</v>
      </c>
    </row>
    <row r="31" spans="1:5" x14ac:dyDescent="0.2">
      <c r="A31" t="s">
        <v>722</v>
      </c>
      <c r="B31" t="s">
        <v>723</v>
      </c>
      <c r="C31" t="s">
        <v>141</v>
      </c>
      <c r="D31" t="s">
        <v>1057</v>
      </c>
      <c r="E31" t="s">
        <v>598</v>
      </c>
    </row>
    <row r="32" spans="1:5" x14ac:dyDescent="0.2">
      <c r="A32" t="s">
        <v>724</v>
      </c>
      <c r="B32" t="s">
        <v>725</v>
      </c>
      <c r="C32" t="s">
        <v>147</v>
      </c>
      <c r="D32" t="s">
        <v>1057</v>
      </c>
      <c r="E32" t="s">
        <v>598</v>
      </c>
    </row>
    <row r="33" spans="1:5" x14ac:dyDescent="0.2">
      <c r="A33" t="s">
        <v>726</v>
      </c>
      <c r="B33" t="s">
        <v>727</v>
      </c>
      <c r="C33" t="s">
        <v>145</v>
      </c>
      <c r="D33" t="s">
        <v>1057</v>
      </c>
      <c r="E33" t="s">
        <v>598</v>
      </c>
    </row>
    <row r="34" spans="1:5" x14ac:dyDescent="0.2">
      <c r="A34" t="s">
        <v>728</v>
      </c>
      <c r="B34" t="s">
        <v>729</v>
      </c>
      <c r="C34" t="s">
        <v>143</v>
      </c>
      <c r="D34" t="s">
        <v>1057</v>
      </c>
      <c r="E34" t="s">
        <v>598</v>
      </c>
    </row>
    <row r="35" spans="1:5" x14ac:dyDescent="0.2">
      <c r="A35" t="s">
        <v>730</v>
      </c>
      <c r="B35" t="s">
        <v>731</v>
      </c>
      <c r="C35" t="s">
        <v>141</v>
      </c>
      <c r="D35" t="s">
        <v>1057</v>
      </c>
      <c r="E35" t="s">
        <v>598</v>
      </c>
    </row>
    <row r="36" spans="1:5" x14ac:dyDescent="0.2">
      <c r="A36" t="s">
        <v>732</v>
      </c>
      <c r="B36" t="s">
        <v>733</v>
      </c>
      <c r="C36" t="s">
        <v>147</v>
      </c>
      <c r="D36" t="s">
        <v>1057</v>
      </c>
      <c r="E36" t="s">
        <v>598</v>
      </c>
    </row>
    <row r="37" spans="1:5" x14ac:dyDescent="0.2">
      <c r="A37" t="s">
        <v>734</v>
      </c>
      <c r="B37" t="s">
        <v>735</v>
      </c>
      <c r="C37" t="s">
        <v>145</v>
      </c>
      <c r="D37" t="s">
        <v>1057</v>
      </c>
      <c r="E37" t="s">
        <v>598</v>
      </c>
    </row>
    <row r="38" spans="1:5" x14ac:dyDescent="0.2">
      <c r="A38" t="s">
        <v>736</v>
      </c>
      <c r="B38" t="s">
        <v>737</v>
      </c>
      <c r="C38" t="s">
        <v>143</v>
      </c>
      <c r="D38" t="s">
        <v>1057</v>
      </c>
      <c r="E38" t="s">
        <v>598</v>
      </c>
    </row>
    <row r="39" spans="1:5" x14ac:dyDescent="0.2">
      <c r="A39" t="s">
        <v>738</v>
      </c>
      <c r="B39" t="s">
        <v>739</v>
      </c>
      <c r="C39" t="s">
        <v>141</v>
      </c>
      <c r="D39" t="s">
        <v>1057</v>
      </c>
      <c r="E39" t="s">
        <v>598</v>
      </c>
    </row>
  </sheetData>
  <autoFilter ref="A1:G39" xr:uid="{E9453906-1399-4D49-80EA-1341E5F6C063}"/>
  <pageMargins left="0.7" right="0.7" top="0.75" bottom="0.75" header="0.3" footer="0.3"/>
  <pageSetup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F9BC9-3C2A-504F-BE00-5CE6B59274AC}">
  <dimension ref="A1:G39"/>
  <sheetViews>
    <sheetView topLeftCell="A12" zoomScale="159" workbookViewId="0">
      <selection sqref="A1:C39"/>
    </sheetView>
  </sheetViews>
  <sheetFormatPr baseColWidth="10" defaultRowHeight="16" x14ac:dyDescent="0.2"/>
  <cols>
    <col min="1" max="1" width="13.83203125" customWidth="1"/>
    <col min="2" max="2" width="17.83203125" customWidth="1"/>
    <col min="3" max="3" width="47.1640625" customWidth="1"/>
    <col min="4" max="4" width="17.5" customWidth="1"/>
  </cols>
  <sheetData>
    <row r="1" spans="1:7" x14ac:dyDescent="0.2">
      <c r="A1" t="s">
        <v>603</v>
      </c>
      <c r="B1" t="s">
        <v>1055</v>
      </c>
      <c r="C1" t="s">
        <v>557</v>
      </c>
      <c r="D1" t="s">
        <v>1056</v>
      </c>
      <c r="E1" s="2" t="s">
        <v>599</v>
      </c>
      <c r="F1" s="2" t="s">
        <v>605</v>
      </c>
      <c r="G1" s="2" t="s">
        <v>606</v>
      </c>
    </row>
    <row r="2" spans="1:7" x14ac:dyDescent="0.2">
      <c r="A2" t="s">
        <v>929</v>
      </c>
      <c r="B2" t="s">
        <v>930</v>
      </c>
      <c r="C2" t="s">
        <v>678</v>
      </c>
      <c r="D2" t="s">
        <v>1058</v>
      </c>
      <c r="E2" t="s">
        <v>598</v>
      </c>
    </row>
    <row r="3" spans="1:7" x14ac:dyDescent="0.2">
      <c r="A3" t="s">
        <v>931</v>
      </c>
      <c r="B3" t="s">
        <v>930</v>
      </c>
      <c r="C3" t="s">
        <v>189</v>
      </c>
      <c r="D3" t="s">
        <v>1057</v>
      </c>
      <c r="E3" t="s">
        <v>598</v>
      </c>
    </row>
    <row r="4" spans="1:7" x14ac:dyDescent="0.2">
      <c r="A4" t="s">
        <v>932</v>
      </c>
      <c r="B4" t="s">
        <v>930</v>
      </c>
      <c r="C4" t="s">
        <v>187</v>
      </c>
      <c r="D4" t="s">
        <v>1058</v>
      </c>
      <c r="E4" t="s">
        <v>598</v>
      </c>
    </row>
    <row r="5" spans="1:7" x14ac:dyDescent="0.2">
      <c r="A5" t="s">
        <v>933</v>
      </c>
      <c r="B5" t="s">
        <v>930</v>
      </c>
      <c r="C5" t="s">
        <v>185</v>
      </c>
      <c r="D5" t="s">
        <v>1057</v>
      </c>
      <c r="E5" t="s">
        <v>598</v>
      </c>
    </row>
    <row r="6" spans="1:7" x14ac:dyDescent="0.2">
      <c r="A6" t="s">
        <v>934</v>
      </c>
      <c r="B6" t="s">
        <v>930</v>
      </c>
      <c r="C6" t="s">
        <v>183</v>
      </c>
      <c r="D6" t="s">
        <v>1058</v>
      </c>
      <c r="E6" t="s">
        <v>598</v>
      </c>
    </row>
    <row r="7" spans="1:7" x14ac:dyDescent="0.2">
      <c r="A7" t="s">
        <v>935</v>
      </c>
      <c r="B7" t="s">
        <v>930</v>
      </c>
      <c r="C7" t="s">
        <v>181</v>
      </c>
      <c r="D7" t="s">
        <v>1057</v>
      </c>
      <c r="E7" t="s">
        <v>598</v>
      </c>
    </row>
    <row r="8" spans="1:7" x14ac:dyDescent="0.2">
      <c r="A8" t="s">
        <v>936</v>
      </c>
      <c r="B8" t="s">
        <v>930</v>
      </c>
      <c r="C8" t="s">
        <v>179</v>
      </c>
      <c r="D8" t="s">
        <v>1058</v>
      </c>
      <c r="E8" t="s">
        <v>598</v>
      </c>
    </row>
    <row r="9" spans="1:7" x14ac:dyDescent="0.2">
      <c r="A9" t="s">
        <v>937</v>
      </c>
      <c r="B9" t="s">
        <v>930</v>
      </c>
      <c r="C9" t="s">
        <v>177</v>
      </c>
      <c r="D9" t="s">
        <v>1057</v>
      </c>
      <c r="E9" t="s">
        <v>598</v>
      </c>
    </row>
    <row r="10" spans="1:7" x14ac:dyDescent="0.2">
      <c r="A10" t="s">
        <v>938</v>
      </c>
      <c r="B10" t="s">
        <v>930</v>
      </c>
      <c r="C10" t="s">
        <v>175</v>
      </c>
      <c r="D10" t="s">
        <v>1058</v>
      </c>
      <c r="E10" t="s">
        <v>598</v>
      </c>
    </row>
    <row r="11" spans="1:7" x14ac:dyDescent="0.2">
      <c r="A11" t="s">
        <v>939</v>
      </c>
      <c r="B11" t="s">
        <v>930</v>
      </c>
      <c r="C11" t="s">
        <v>173</v>
      </c>
      <c r="D11" t="s">
        <v>1057</v>
      </c>
      <c r="E11" t="s">
        <v>598</v>
      </c>
    </row>
    <row r="12" spans="1:7" x14ac:dyDescent="0.2">
      <c r="A12" t="s">
        <v>940</v>
      </c>
      <c r="B12" t="s">
        <v>941</v>
      </c>
      <c r="C12" t="s">
        <v>171</v>
      </c>
      <c r="D12" t="s">
        <v>1057</v>
      </c>
      <c r="E12" t="s">
        <v>598</v>
      </c>
    </row>
    <row r="13" spans="1:7" x14ac:dyDescent="0.2">
      <c r="A13" t="s">
        <v>942</v>
      </c>
      <c r="B13" t="s">
        <v>943</v>
      </c>
      <c r="C13" t="s">
        <v>169</v>
      </c>
      <c r="D13" t="s">
        <v>1057</v>
      </c>
      <c r="E13" t="s">
        <v>598</v>
      </c>
    </row>
    <row r="14" spans="1:7" x14ac:dyDescent="0.2">
      <c r="A14" t="s">
        <v>944</v>
      </c>
      <c r="B14" t="s">
        <v>945</v>
      </c>
      <c r="C14" t="s">
        <v>167</v>
      </c>
      <c r="D14" t="s">
        <v>1057</v>
      </c>
      <c r="E14" t="s">
        <v>598</v>
      </c>
    </row>
    <row r="15" spans="1:7" x14ac:dyDescent="0.2">
      <c r="A15" t="s">
        <v>946</v>
      </c>
      <c r="B15" t="s">
        <v>947</v>
      </c>
      <c r="C15" t="s">
        <v>165</v>
      </c>
      <c r="D15" t="s">
        <v>1058</v>
      </c>
      <c r="E15" t="s">
        <v>598</v>
      </c>
    </row>
    <row r="16" spans="1:7" x14ac:dyDescent="0.2">
      <c r="A16" t="s">
        <v>948</v>
      </c>
      <c r="B16" t="s">
        <v>941</v>
      </c>
      <c r="C16" t="s">
        <v>163</v>
      </c>
      <c r="D16" t="s">
        <v>1058</v>
      </c>
      <c r="E16" t="s">
        <v>598</v>
      </c>
    </row>
    <row r="17" spans="1:5" x14ac:dyDescent="0.2">
      <c r="A17" t="s">
        <v>949</v>
      </c>
      <c r="B17" t="s">
        <v>943</v>
      </c>
      <c r="C17" t="s">
        <v>161</v>
      </c>
      <c r="D17" t="s">
        <v>1058</v>
      </c>
      <c r="E17" t="s">
        <v>598</v>
      </c>
    </row>
    <row r="18" spans="1:5" x14ac:dyDescent="0.2">
      <c r="A18" t="s">
        <v>950</v>
      </c>
      <c r="B18" t="s">
        <v>945</v>
      </c>
      <c r="C18" t="s">
        <v>159</v>
      </c>
      <c r="D18" t="s">
        <v>1058</v>
      </c>
      <c r="E18" t="s">
        <v>598</v>
      </c>
    </row>
    <row r="19" spans="1:5" x14ac:dyDescent="0.2">
      <c r="A19" t="s">
        <v>951</v>
      </c>
      <c r="B19" t="s">
        <v>947</v>
      </c>
      <c r="C19" t="s">
        <v>157</v>
      </c>
      <c r="D19" t="s">
        <v>1058</v>
      </c>
      <c r="E19" t="s">
        <v>598</v>
      </c>
    </row>
    <row r="20" spans="1:5" x14ac:dyDescent="0.2">
      <c r="A20" t="s">
        <v>952</v>
      </c>
      <c r="B20" t="s">
        <v>953</v>
      </c>
      <c r="C20" t="s">
        <v>155</v>
      </c>
      <c r="D20" t="s">
        <v>1058</v>
      </c>
      <c r="E20" t="s">
        <v>598</v>
      </c>
    </row>
    <row r="21" spans="1:5" x14ac:dyDescent="0.2">
      <c r="A21" t="s">
        <v>954</v>
      </c>
      <c r="B21" t="s">
        <v>955</v>
      </c>
      <c r="C21" t="s">
        <v>153</v>
      </c>
      <c r="D21" t="s">
        <v>1058</v>
      </c>
      <c r="E21" t="s">
        <v>598</v>
      </c>
    </row>
    <row r="22" spans="1:5" x14ac:dyDescent="0.2">
      <c r="A22" t="s">
        <v>956</v>
      </c>
      <c r="B22" t="s">
        <v>957</v>
      </c>
      <c r="C22" t="s">
        <v>151</v>
      </c>
      <c r="D22" t="s">
        <v>1058</v>
      </c>
      <c r="E22" t="s">
        <v>598</v>
      </c>
    </row>
    <row r="23" spans="1:5" x14ac:dyDescent="0.2">
      <c r="A23" t="s">
        <v>958</v>
      </c>
      <c r="B23" t="s">
        <v>959</v>
      </c>
      <c r="C23" t="s">
        <v>149</v>
      </c>
      <c r="D23" t="s">
        <v>1058</v>
      </c>
      <c r="E23" t="s">
        <v>598</v>
      </c>
    </row>
    <row r="24" spans="1:5" x14ac:dyDescent="0.2">
      <c r="A24" t="s">
        <v>960</v>
      </c>
      <c r="B24" t="s">
        <v>961</v>
      </c>
      <c r="C24" t="s">
        <v>147</v>
      </c>
      <c r="D24" t="s">
        <v>1058</v>
      </c>
      <c r="E24" t="s">
        <v>598</v>
      </c>
    </row>
    <row r="25" spans="1:5" x14ac:dyDescent="0.2">
      <c r="A25" t="s">
        <v>962</v>
      </c>
      <c r="B25" t="s">
        <v>963</v>
      </c>
      <c r="C25" t="s">
        <v>145</v>
      </c>
      <c r="D25" t="s">
        <v>1058</v>
      </c>
      <c r="E25" t="s">
        <v>598</v>
      </c>
    </row>
    <row r="26" spans="1:5" x14ac:dyDescent="0.2">
      <c r="A26" t="s">
        <v>964</v>
      </c>
      <c r="B26" t="s">
        <v>965</v>
      </c>
      <c r="C26" t="s">
        <v>143</v>
      </c>
      <c r="D26" t="s">
        <v>1058</v>
      </c>
      <c r="E26" t="s">
        <v>598</v>
      </c>
    </row>
    <row r="27" spans="1:5" x14ac:dyDescent="0.2">
      <c r="A27" t="s">
        <v>966</v>
      </c>
      <c r="B27" t="s">
        <v>967</v>
      </c>
      <c r="C27" t="s">
        <v>141</v>
      </c>
      <c r="D27" t="s">
        <v>1058</v>
      </c>
      <c r="E27" t="s">
        <v>598</v>
      </c>
    </row>
    <row r="28" spans="1:5" x14ac:dyDescent="0.2">
      <c r="A28" t="s">
        <v>968</v>
      </c>
      <c r="B28" t="s">
        <v>969</v>
      </c>
      <c r="C28" t="s">
        <v>147</v>
      </c>
      <c r="D28" t="s">
        <v>1058</v>
      </c>
      <c r="E28" t="s">
        <v>598</v>
      </c>
    </row>
    <row r="29" spans="1:5" x14ac:dyDescent="0.2">
      <c r="A29" t="s">
        <v>970</v>
      </c>
      <c r="B29" t="s">
        <v>971</v>
      </c>
      <c r="C29" t="s">
        <v>145</v>
      </c>
      <c r="D29" t="s">
        <v>1058</v>
      </c>
      <c r="E29" t="s">
        <v>598</v>
      </c>
    </row>
    <row r="30" spans="1:5" x14ac:dyDescent="0.2">
      <c r="A30" t="s">
        <v>972</v>
      </c>
      <c r="B30" t="s">
        <v>973</v>
      </c>
      <c r="C30" t="s">
        <v>143</v>
      </c>
      <c r="D30" t="s">
        <v>1058</v>
      </c>
      <c r="E30" t="s">
        <v>598</v>
      </c>
    </row>
    <row r="31" spans="1:5" x14ac:dyDescent="0.2">
      <c r="A31" t="s">
        <v>974</v>
      </c>
      <c r="B31" t="s">
        <v>975</v>
      </c>
      <c r="C31" t="s">
        <v>141</v>
      </c>
      <c r="D31" t="s">
        <v>1058</v>
      </c>
      <c r="E31" t="s">
        <v>598</v>
      </c>
    </row>
    <row r="32" spans="1:5" x14ac:dyDescent="0.2">
      <c r="A32" t="s">
        <v>976</v>
      </c>
      <c r="B32" t="s">
        <v>977</v>
      </c>
      <c r="C32" t="s">
        <v>147</v>
      </c>
      <c r="D32" t="s">
        <v>1058</v>
      </c>
      <c r="E32" t="s">
        <v>598</v>
      </c>
    </row>
    <row r="33" spans="1:5" x14ac:dyDescent="0.2">
      <c r="A33" t="s">
        <v>978</v>
      </c>
      <c r="B33" t="s">
        <v>979</v>
      </c>
      <c r="C33" t="s">
        <v>145</v>
      </c>
      <c r="D33" t="s">
        <v>1058</v>
      </c>
      <c r="E33" t="s">
        <v>598</v>
      </c>
    </row>
    <row r="34" spans="1:5" x14ac:dyDescent="0.2">
      <c r="A34" t="s">
        <v>980</v>
      </c>
      <c r="B34" t="s">
        <v>981</v>
      </c>
      <c r="C34" t="s">
        <v>143</v>
      </c>
      <c r="D34" t="s">
        <v>1058</v>
      </c>
      <c r="E34" t="s">
        <v>598</v>
      </c>
    </row>
    <row r="35" spans="1:5" x14ac:dyDescent="0.2">
      <c r="A35" t="s">
        <v>982</v>
      </c>
      <c r="B35" t="s">
        <v>983</v>
      </c>
      <c r="C35" t="s">
        <v>141</v>
      </c>
      <c r="D35" t="s">
        <v>1058</v>
      </c>
      <c r="E35" t="s">
        <v>598</v>
      </c>
    </row>
    <row r="36" spans="1:5" x14ac:dyDescent="0.2">
      <c r="A36" t="s">
        <v>984</v>
      </c>
      <c r="B36" t="s">
        <v>985</v>
      </c>
      <c r="C36" t="s">
        <v>147</v>
      </c>
      <c r="D36" t="s">
        <v>1058</v>
      </c>
      <c r="E36" t="s">
        <v>598</v>
      </c>
    </row>
    <row r="37" spans="1:5" x14ac:dyDescent="0.2">
      <c r="A37" t="s">
        <v>986</v>
      </c>
      <c r="B37" t="s">
        <v>987</v>
      </c>
      <c r="C37" t="s">
        <v>145</v>
      </c>
      <c r="D37" t="s">
        <v>1058</v>
      </c>
      <c r="E37" t="s">
        <v>598</v>
      </c>
    </row>
    <row r="38" spans="1:5" x14ac:dyDescent="0.2">
      <c r="A38" t="s">
        <v>988</v>
      </c>
      <c r="B38" t="s">
        <v>989</v>
      </c>
      <c r="C38" t="s">
        <v>143</v>
      </c>
      <c r="D38" t="s">
        <v>1058</v>
      </c>
      <c r="E38" t="s">
        <v>598</v>
      </c>
    </row>
    <row r="39" spans="1:5" x14ac:dyDescent="0.2">
      <c r="A39" t="s">
        <v>990</v>
      </c>
      <c r="B39" t="s">
        <v>991</v>
      </c>
      <c r="C39" t="s">
        <v>141</v>
      </c>
      <c r="D39" t="s">
        <v>1058</v>
      </c>
      <c r="E39" t="s">
        <v>598</v>
      </c>
    </row>
  </sheetData>
  <autoFilter ref="A1:G39" xr:uid="{D8CF9BC9-3C2A-504F-BE00-5CE6B59274AC}"/>
  <pageMargins left="0.7" right="0.7" top="0.75" bottom="0.75" header="0.3" footer="0.3"/>
  <pageSetup orientation="portrait"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C1B06-2631-E149-A7CF-F547DEB800CB}">
  <sheetPr filterMode="1"/>
  <dimension ref="A1:G39"/>
  <sheetViews>
    <sheetView zoomScale="144" workbookViewId="0">
      <selection activeCell="I14" sqref="I14"/>
    </sheetView>
  </sheetViews>
  <sheetFormatPr baseColWidth="10" defaultRowHeight="16" x14ac:dyDescent="0.2"/>
  <cols>
    <col min="2" max="2" width="18.33203125" customWidth="1"/>
    <col min="3" max="3" width="41.33203125" customWidth="1"/>
    <col min="4" max="4" width="17.6640625" customWidth="1"/>
  </cols>
  <sheetData>
    <row r="1" spans="1:7" x14ac:dyDescent="0.2">
      <c r="A1" t="s">
        <v>603</v>
      </c>
      <c r="B1" t="s">
        <v>1055</v>
      </c>
      <c r="C1" t="s">
        <v>557</v>
      </c>
      <c r="D1" t="s">
        <v>1056</v>
      </c>
      <c r="E1" s="2" t="s">
        <v>599</v>
      </c>
      <c r="F1" s="2" t="s">
        <v>605</v>
      </c>
      <c r="G1" s="2" t="s">
        <v>606</v>
      </c>
    </row>
    <row r="2" spans="1:7" x14ac:dyDescent="0.2">
      <c r="A2" t="s">
        <v>740</v>
      </c>
      <c r="B2" t="s">
        <v>741</v>
      </c>
      <c r="C2" t="s">
        <v>678</v>
      </c>
      <c r="D2" t="s">
        <v>1058</v>
      </c>
      <c r="E2" t="s">
        <v>598</v>
      </c>
    </row>
    <row r="3" spans="1:7" x14ac:dyDescent="0.2">
      <c r="A3" t="s">
        <v>742</v>
      </c>
      <c r="B3" t="s">
        <v>741</v>
      </c>
      <c r="C3" t="s">
        <v>189</v>
      </c>
      <c r="D3" t="s">
        <v>1057</v>
      </c>
      <c r="E3" t="s">
        <v>598</v>
      </c>
    </row>
    <row r="4" spans="1:7" x14ac:dyDescent="0.2">
      <c r="A4" t="s">
        <v>743</v>
      </c>
      <c r="B4" t="s">
        <v>741</v>
      </c>
      <c r="C4" t="s">
        <v>187</v>
      </c>
      <c r="D4" t="s">
        <v>1058</v>
      </c>
      <c r="E4" t="s">
        <v>598</v>
      </c>
    </row>
    <row r="5" spans="1:7" x14ac:dyDescent="0.2">
      <c r="A5" t="s">
        <v>744</v>
      </c>
      <c r="B5" t="s">
        <v>741</v>
      </c>
      <c r="C5" t="s">
        <v>185</v>
      </c>
      <c r="D5" t="s">
        <v>1057</v>
      </c>
      <c r="E5" t="s">
        <v>598</v>
      </c>
    </row>
    <row r="6" spans="1:7" x14ac:dyDescent="0.2">
      <c r="A6" t="s">
        <v>745</v>
      </c>
      <c r="B6" t="s">
        <v>741</v>
      </c>
      <c r="C6" t="s">
        <v>183</v>
      </c>
      <c r="D6" t="s">
        <v>1058</v>
      </c>
      <c r="E6" t="s">
        <v>598</v>
      </c>
    </row>
    <row r="7" spans="1:7" x14ac:dyDescent="0.2">
      <c r="A7" t="s">
        <v>746</v>
      </c>
      <c r="B7" t="s">
        <v>741</v>
      </c>
      <c r="C7" t="s">
        <v>181</v>
      </c>
      <c r="D7" t="s">
        <v>1057</v>
      </c>
      <c r="E7" t="s">
        <v>598</v>
      </c>
    </row>
    <row r="8" spans="1:7" x14ac:dyDescent="0.2">
      <c r="A8" t="s">
        <v>747</v>
      </c>
      <c r="B8" t="s">
        <v>741</v>
      </c>
      <c r="C8" t="s">
        <v>179</v>
      </c>
      <c r="D8" t="s">
        <v>1058</v>
      </c>
      <c r="E8" t="s">
        <v>598</v>
      </c>
    </row>
    <row r="9" spans="1:7" x14ac:dyDescent="0.2">
      <c r="A9" t="s">
        <v>748</v>
      </c>
      <c r="B9" t="s">
        <v>741</v>
      </c>
      <c r="C9" t="s">
        <v>177</v>
      </c>
      <c r="D9" t="s">
        <v>1057</v>
      </c>
      <c r="E9" t="s">
        <v>598</v>
      </c>
    </row>
    <row r="10" spans="1:7" x14ac:dyDescent="0.2">
      <c r="A10" t="s">
        <v>749</v>
      </c>
      <c r="B10" t="s">
        <v>741</v>
      </c>
      <c r="C10" t="s">
        <v>175</v>
      </c>
      <c r="D10" t="s">
        <v>1058</v>
      </c>
      <c r="E10" t="s">
        <v>598</v>
      </c>
    </row>
    <row r="11" spans="1:7" x14ac:dyDescent="0.2">
      <c r="A11" t="s">
        <v>750</v>
      </c>
      <c r="B11" t="s">
        <v>741</v>
      </c>
      <c r="C11" t="s">
        <v>173</v>
      </c>
      <c r="D11" t="s">
        <v>1057</v>
      </c>
      <c r="E11" t="s">
        <v>598</v>
      </c>
    </row>
    <row r="12" spans="1:7" x14ac:dyDescent="0.2">
      <c r="A12" t="s">
        <v>751</v>
      </c>
      <c r="B12" t="s">
        <v>752</v>
      </c>
      <c r="C12" t="s">
        <v>171</v>
      </c>
      <c r="D12" t="s">
        <v>1058</v>
      </c>
      <c r="E12" t="s">
        <v>598</v>
      </c>
    </row>
    <row r="13" spans="1:7" x14ac:dyDescent="0.2">
      <c r="A13" t="s">
        <v>753</v>
      </c>
      <c r="B13" t="s">
        <v>754</v>
      </c>
      <c r="C13" t="s">
        <v>169</v>
      </c>
      <c r="D13" t="s">
        <v>1058</v>
      </c>
      <c r="E13" t="s">
        <v>598</v>
      </c>
    </row>
    <row r="14" spans="1:7" x14ac:dyDescent="0.2">
      <c r="A14" t="s">
        <v>755</v>
      </c>
      <c r="B14" t="s">
        <v>756</v>
      </c>
      <c r="C14" t="s">
        <v>167</v>
      </c>
      <c r="D14" t="s">
        <v>1058</v>
      </c>
      <c r="E14" t="s">
        <v>598</v>
      </c>
    </row>
    <row r="15" spans="1:7" x14ac:dyDescent="0.2">
      <c r="A15" t="s">
        <v>757</v>
      </c>
      <c r="B15" t="s">
        <v>758</v>
      </c>
      <c r="C15" t="s">
        <v>165</v>
      </c>
      <c r="D15" t="s">
        <v>1058</v>
      </c>
      <c r="E15" t="s">
        <v>598</v>
      </c>
    </row>
    <row r="16" spans="1:7" x14ac:dyDescent="0.2">
      <c r="A16" t="s">
        <v>759</v>
      </c>
      <c r="B16" t="s">
        <v>752</v>
      </c>
      <c r="C16" t="s">
        <v>163</v>
      </c>
      <c r="D16" t="s">
        <v>1058</v>
      </c>
      <c r="E16" t="s">
        <v>598</v>
      </c>
    </row>
    <row r="17" spans="1:5" x14ac:dyDescent="0.2">
      <c r="A17" t="s">
        <v>760</v>
      </c>
      <c r="B17" t="s">
        <v>754</v>
      </c>
      <c r="C17" t="s">
        <v>161</v>
      </c>
      <c r="D17" t="s">
        <v>1058</v>
      </c>
      <c r="E17" t="s">
        <v>598</v>
      </c>
    </row>
    <row r="18" spans="1:5" x14ac:dyDescent="0.2">
      <c r="A18" t="s">
        <v>761</v>
      </c>
      <c r="B18" t="s">
        <v>756</v>
      </c>
      <c r="C18" t="s">
        <v>159</v>
      </c>
      <c r="D18" t="s">
        <v>1058</v>
      </c>
      <c r="E18" t="s">
        <v>598</v>
      </c>
    </row>
    <row r="19" spans="1:5" x14ac:dyDescent="0.2">
      <c r="A19" t="s">
        <v>762</v>
      </c>
      <c r="B19" t="s">
        <v>758</v>
      </c>
      <c r="C19" t="s">
        <v>157</v>
      </c>
      <c r="D19" t="s">
        <v>1058</v>
      </c>
      <c r="E19" t="s">
        <v>598</v>
      </c>
    </row>
    <row r="20" spans="1:5" x14ac:dyDescent="0.2">
      <c r="A20" t="s">
        <v>763</v>
      </c>
      <c r="B20" t="s">
        <v>764</v>
      </c>
      <c r="C20" t="s">
        <v>155</v>
      </c>
      <c r="D20" t="s">
        <v>1058</v>
      </c>
      <c r="E20" t="s">
        <v>598</v>
      </c>
    </row>
    <row r="21" spans="1:5" x14ac:dyDescent="0.2">
      <c r="A21" t="s">
        <v>765</v>
      </c>
      <c r="B21" t="s">
        <v>766</v>
      </c>
      <c r="C21" t="s">
        <v>153</v>
      </c>
      <c r="D21" t="s">
        <v>1058</v>
      </c>
      <c r="E21" t="s">
        <v>598</v>
      </c>
    </row>
    <row r="22" spans="1:5" x14ac:dyDescent="0.2">
      <c r="A22" t="s">
        <v>767</v>
      </c>
      <c r="B22" t="s">
        <v>768</v>
      </c>
      <c r="C22" t="s">
        <v>151</v>
      </c>
      <c r="D22" t="s">
        <v>1058</v>
      </c>
      <c r="E22" t="s">
        <v>598</v>
      </c>
    </row>
    <row r="23" spans="1:5" x14ac:dyDescent="0.2">
      <c r="A23" t="s">
        <v>769</v>
      </c>
      <c r="B23" t="s">
        <v>770</v>
      </c>
      <c r="C23" t="s">
        <v>149</v>
      </c>
      <c r="D23" t="s">
        <v>1058</v>
      </c>
      <c r="E23" t="s">
        <v>598</v>
      </c>
    </row>
    <row r="24" spans="1:5" x14ac:dyDescent="0.2">
      <c r="A24" t="s">
        <v>771</v>
      </c>
      <c r="B24" t="s">
        <v>772</v>
      </c>
      <c r="C24" t="s">
        <v>147</v>
      </c>
      <c r="D24" t="s">
        <v>1058</v>
      </c>
      <c r="E24" t="s">
        <v>598</v>
      </c>
    </row>
    <row r="25" spans="1:5" x14ac:dyDescent="0.2">
      <c r="A25" t="s">
        <v>773</v>
      </c>
      <c r="B25" t="s">
        <v>774</v>
      </c>
      <c r="C25" t="s">
        <v>145</v>
      </c>
      <c r="D25" t="s">
        <v>1058</v>
      </c>
      <c r="E25" t="s">
        <v>598</v>
      </c>
    </row>
    <row r="26" spans="1:5" x14ac:dyDescent="0.2">
      <c r="A26" t="s">
        <v>775</v>
      </c>
      <c r="B26" t="s">
        <v>776</v>
      </c>
      <c r="C26" t="s">
        <v>143</v>
      </c>
      <c r="D26" t="s">
        <v>1058</v>
      </c>
      <c r="E26" t="s">
        <v>598</v>
      </c>
    </row>
    <row r="27" spans="1:5" x14ac:dyDescent="0.2">
      <c r="A27" t="s">
        <v>777</v>
      </c>
      <c r="B27" t="s">
        <v>778</v>
      </c>
      <c r="C27" t="s">
        <v>141</v>
      </c>
      <c r="D27" t="s">
        <v>1058</v>
      </c>
      <c r="E27" t="s">
        <v>598</v>
      </c>
    </row>
    <row r="28" spans="1:5" x14ac:dyDescent="0.2">
      <c r="A28" t="s">
        <v>779</v>
      </c>
      <c r="B28" t="s">
        <v>780</v>
      </c>
      <c r="C28" t="s">
        <v>147</v>
      </c>
      <c r="D28" t="s">
        <v>1058</v>
      </c>
      <c r="E28" t="s">
        <v>598</v>
      </c>
    </row>
    <row r="29" spans="1:5" x14ac:dyDescent="0.2">
      <c r="A29" t="s">
        <v>781</v>
      </c>
      <c r="B29" t="s">
        <v>782</v>
      </c>
      <c r="C29" t="s">
        <v>145</v>
      </c>
      <c r="D29" t="s">
        <v>1058</v>
      </c>
      <c r="E29" t="s">
        <v>598</v>
      </c>
    </row>
    <row r="30" spans="1:5" x14ac:dyDescent="0.2">
      <c r="A30" t="s">
        <v>783</v>
      </c>
      <c r="B30" t="s">
        <v>784</v>
      </c>
      <c r="C30" t="s">
        <v>143</v>
      </c>
      <c r="D30" t="s">
        <v>1058</v>
      </c>
      <c r="E30" t="s">
        <v>598</v>
      </c>
    </row>
    <row r="31" spans="1:5" x14ac:dyDescent="0.2">
      <c r="A31" t="s">
        <v>785</v>
      </c>
      <c r="B31" t="s">
        <v>786</v>
      </c>
      <c r="C31" t="s">
        <v>141</v>
      </c>
      <c r="D31" t="s">
        <v>1058</v>
      </c>
      <c r="E31" t="s">
        <v>598</v>
      </c>
    </row>
    <row r="32" spans="1:5" x14ac:dyDescent="0.2">
      <c r="A32" t="s">
        <v>787</v>
      </c>
      <c r="B32" t="s">
        <v>788</v>
      </c>
      <c r="C32" t="s">
        <v>147</v>
      </c>
      <c r="D32" t="s">
        <v>1058</v>
      </c>
      <c r="E32" t="s">
        <v>598</v>
      </c>
    </row>
    <row r="33" spans="1:5" x14ac:dyDescent="0.2">
      <c r="A33" t="s">
        <v>789</v>
      </c>
      <c r="B33" t="s">
        <v>790</v>
      </c>
      <c r="C33" t="s">
        <v>145</v>
      </c>
      <c r="D33" t="s">
        <v>1058</v>
      </c>
      <c r="E33" t="s">
        <v>598</v>
      </c>
    </row>
    <row r="34" spans="1:5" x14ac:dyDescent="0.2">
      <c r="A34" t="s">
        <v>791</v>
      </c>
      <c r="B34" t="s">
        <v>792</v>
      </c>
      <c r="C34" t="s">
        <v>143</v>
      </c>
      <c r="D34" t="s">
        <v>1058</v>
      </c>
      <c r="E34" t="s">
        <v>598</v>
      </c>
    </row>
    <row r="35" spans="1:5" x14ac:dyDescent="0.2">
      <c r="A35" t="s">
        <v>793</v>
      </c>
      <c r="B35" t="s">
        <v>794</v>
      </c>
      <c r="C35" t="s">
        <v>141</v>
      </c>
      <c r="D35" t="s">
        <v>1058</v>
      </c>
      <c r="E35" t="s">
        <v>598</v>
      </c>
    </row>
    <row r="36" spans="1:5" x14ac:dyDescent="0.2">
      <c r="A36" t="s">
        <v>795</v>
      </c>
      <c r="B36" t="s">
        <v>796</v>
      </c>
      <c r="C36" t="s">
        <v>147</v>
      </c>
      <c r="D36" t="s">
        <v>1058</v>
      </c>
      <c r="E36" t="s">
        <v>598</v>
      </c>
    </row>
    <row r="37" spans="1:5" x14ac:dyDescent="0.2">
      <c r="A37" t="s">
        <v>797</v>
      </c>
      <c r="B37" t="s">
        <v>798</v>
      </c>
      <c r="C37" t="s">
        <v>145</v>
      </c>
      <c r="D37" t="s">
        <v>1058</v>
      </c>
      <c r="E37" t="s">
        <v>598</v>
      </c>
    </row>
    <row r="38" spans="1:5" x14ac:dyDescent="0.2">
      <c r="A38" t="s">
        <v>799</v>
      </c>
      <c r="B38" t="s">
        <v>800</v>
      </c>
      <c r="C38" t="s">
        <v>143</v>
      </c>
      <c r="D38" t="s">
        <v>1058</v>
      </c>
      <c r="E38" t="s">
        <v>598</v>
      </c>
    </row>
    <row r="39" spans="1:5" x14ac:dyDescent="0.2">
      <c r="A39" t="s">
        <v>801</v>
      </c>
      <c r="B39" t="s">
        <v>802</v>
      </c>
      <c r="C39" t="s">
        <v>141</v>
      </c>
      <c r="D39" t="s">
        <v>1058</v>
      </c>
      <c r="E39" t="s">
        <v>598</v>
      </c>
    </row>
  </sheetData>
  <autoFilter ref="A1:G39" xr:uid="{B18C1B06-2631-E149-A7CF-F547DEB800CB}">
    <filterColumn colId="3">
      <filters>
        <filter val="yes"/>
      </filters>
    </filterColumn>
  </autoFilter>
  <pageMargins left="0.7" right="0.7" top="0.75" bottom="0.75" header="0.3" footer="0.3"/>
  <pageSetup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8FB06-E43B-3C48-8975-3BFD36AD08EA}">
  <dimension ref="A1:G39"/>
  <sheetViews>
    <sheetView topLeftCell="A8" zoomScale="137" workbookViewId="0">
      <selection activeCell="I29" sqref="I29"/>
    </sheetView>
  </sheetViews>
  <sheetFormatPr baseColWidth="10" defaultRowHeight="16" x14ac:dyDescent="0.2"/>
  <cols>
    <col min="2" max="2" width="19.5" customWidth="1"/>
    <col min="3" max="3" width="41.83203125" customWidth="1"/>
    <col min="4" max="4" width="16.5" customWidth="1"/>
  </cols>
  <sheetData>
    <row r="1" spans="1:7" x14ac:dyDescent="0.2">
      <c r="A1" t="s">
        <v>603</v>
      </c>
      <c r="B1" t="s">
        <v>1055</v>
      </c>
      <c r="C1" t="s">
        <v>557</v>
      </c>
      <c r="D1" t="s">
        <v>1056</v>
      </c>
      <c r="E1" s="2" t="s">
        <v>599</v>
      </c>
      <c r="F1" s="2" t="s">
        <v>605</v>
      </c>
      <c r="G1" s="2" t="s">
        <v>606</v>
      </c>
    </row>
    <row r="2" spans="1:7" x14ac:dyDescent="0.2">
      <c r="A2" t="s">
        <v>803</v>
      </c>
      <c r="B2" t="s">
        <v>804</v>
      </c>
      <c r="C2" t="s">
        <v>678</v>
      </c>
      <c r="D2" t="s">
        <v>1058</v>
      </c>
      <c r="E2" t="s">
        <v>598</v>
      </c>
    </row>
    <row r="3" spans="1:7" x14ac:dyDescent="0.2">
      <c r="A3" t="s">
        <v>805</v>
      </c>
      <c r="B3" t="s">
        <v>804</v>
      </c>
      <c r="C3" t="s">
        <v>189</v>
      </c>
      <c r="D3" t="s">
        <v>1057</v>
      </c>
      <c r="E3" t="s">
        <v>598</v>
      </c>
    </row>
    <row r="4" spans="1:7" x14ac:dyDescent="0.2">
      <c r="A4" t="s">
        <v>806</v>
      </c>
      <c r="B4" t="s">
        <v>804</v>
      </c>
      <c r="C4" t="s">
        <v>187</v>
      </c>
      <c r="D4" t="s">
        <v>1058</v>
      </c>
      <c r="E4" t="s">
        <v>598</v>
      </c>
    </row>
    <row r="5" spans="1:7" x14ac:dyDescent="0.2">
      <c r="A5" t="s">
        <v>807</v>
      </c>
      <c r="B5" t="s">
        <v>804</v>
      </c>
      <c r="C5" t="s">
        <v>185</v>
      </c>
      <c r="D5" t="s">
        <v>1057</v>
      </c>
      <c r="E5" t="s">
        <v>598</v>
      </c>
    </row>
    <row r="6" spans="1:7" x14ac:dyDescent="0.2">
      <c r="A6" t="s">
        <v>808</v>
      </c>
      <c r="B6" t="s">
        <v>804</v>
      </c>
      <c r="C6" t="s">
        <v>183</v>
      </c>
      <c r="D6" t="s">
        <v>1058</v>
      </c>
      <c r="E6" t="s">
        <v>598</v>
      </c>
    </row>
    <row r="7" spans="1:7" x14ac:dyDescent="0.2">
      <c r="A7" t="s">
        <v>809</v>
      </c>
      <c r="B7" t="s">
        <v>804</v>
      </c>
      <c r="C7" t="s">
        <v>181</v>
      </c>
      <c r="D7" t="s">
        <v>1057</v>
      </c>
      <c r="E7" t="s">
        <v>598</v>
      </c>
    </row>
    <row r="8" spans="1:7" x14ac:dyDescent="0.2">
      <c r="A8" t="s">
        <v>810</v>
      </c>
      <c r="B8" t="s">
        <v>804</v>
      </c>
      <c r="C8" t="s">
        <v>179</v>
      </c>
      <c r="D8" t="s">
        <v>1058</v>
      </c>
      <c r="E8" t="s">
        <v>598</v>
      </c>
    </row>
    <row r="9" spans="1:7" x14ac:dyDescent="0.2">
      <c r="A9" t="s">
        <v>811</v>
      </c>
      <c r="B9" t="s">
        <v>804</v>
      </c>
      <c r="C9" t="s">
        <v>177</v>
      </c>
      <c r="D9" t="s">
        <v>1057</v>
      </c>
      <c r="E9" t="s">
        <v>598</v>
      </c>
    </row>
    <row r="10" spans="1:7" x14ac:dyDescent="0.2">
      <c r="A10" t="s">
        <v>812</v>
      </c>
      <c r="B10" t="s">
        <v>804</v>
      </c>
      <c r="C10" t="s">
        <v>175</v>
      </c>
      <c r="D10" t="s">
        <v>1058</v>
      </c>
      <c r="E10" t="s">
        <v>598</v>
      </c>
    </row>
    <row r="11" spans="1:7" x14ac:dyDescent="0.2">
      <c r="A11" t="s">
        <v>813</v>
      </c>
      <c r="B11" t="s">
        <v>804</v>
      </c>
      <c r="C11" t="s">
        <v>173</v>
      </c>
      <c r="D11" t="s">
        <v>1057</v>
      </c>
      <c r="E11" t="s">
        <v>598</v>
      </c>
    </row>
    <row r="12" spans="1:7" x14ac:dyDescent="0.2">
      <c r="A12" t="s">
        <v>814</v>
      </c>
      <c r="B12" t="s">
        <v>815</v>
      </c>
      <c r="C12" t="s">
        <v>171</v>
      </c>
      <c r="D12" t="s">
        <v>1057</v>
      </c>
      <c r="E12" t="s">
        <v>598</v>
      </c>
    </row>
    <row r="13" spans="1:7" x14ac:dyDescent="0.2">
      <c r="A13" t="s">
        <v>816</v>
      </c>
      <c r="B13" t="s">
        <v>817</v>
      </c>
      <c r="C13" t="s">
        <v>169</v>
      </c>
      <c r="D13" t="s">
        <v>1057</v>
      </c>
      <c r="E13" t="s">
        <v>598</v>
      </c>
    </row>
    <row r="14" spans="1:7" x14ac:dyDescent="0.2">
      <c r="A14" t="s">
        <v>818</v>
      </c>
      <c r="B14" t="s">
        <v>819</v>
      </c>
      <c r="C14" t="s">
        <v>167</v>
      </c>
      <c r="D14" t="s">
        <v>1057</v>
      </c>
      <c r="E14" t="s">
        <v>598</v>
      </c>
    </row>
    <row r="15" spans="1:7" x14ac:dyDescent="0.2">
      <c r="A15" t="s">
        <v>820</v>
      </c>
      <c r="B15" t="s">
        <v>821</v>
      </c>
      <c r="C15" t="s">
        <v>165</v>
      </c>
      <c r="D15" t="s">
        <v>1057</v>
      </c>
      <c r="E15" t="s">
        <v>598</v>
      </c>
    </row>
    <row r="16" spans="1:7" x14ac:dyDescent="0.2">
      <c r="A16" t="s">
        <v>822</v>
      </c>
      <c r="B16" t="s">
        <v>815</v>
      </c>
      <c r="C16" t="s">
        <v>163</v>
      </c>
      <c r="D16" t="s">
        <v>1058</v>
      </c>
      <c r="E16" t="s">
        <v>598</v>
      </c>
    </row>
    <row r="17" spans="1:5" x14ac:dyDescent="0.2">
      <c r="A17" t="s">
        <v>823</v>
      </c>
      <c r="B17" t="s">
        <v>817</v>
      </c>
      <c r="C17" t="s">
        <v>161</v>
      </c>
      <c r="D17" t="s">
        <v>1058</v>
      </c>
      <c r="E17" t="s">
        <v>598</v>
      </c>
    </row>
    <row r="18" spans="1:5" x14ac:dyDescent="0.2">
      <c r="A18" t="s">
        <v>824</v>
      </c>
      <c r="B18" t="s">
        <v>819</v>
      </c>
      <c r="C18" t="s">
        <v>159</v>
      </c>
      <c r="D18" t="s">
        <v>1058</v>
      </c>
      <c r="E18" t="s">
        <v>598</v>
      </c>
    </row>
    <row r="19" spans="1:5" x14ac:dyDescent="0.2">
      <c r="A19" t="s">
        <v>825</v>
      </c>
      <c r="B19" t="s">
        <v>821</v>
      </c>
      <c r="C19" t="s">
        <v>157</v>
      </c>
      <c r="D19" t="s">
        <v>1058</v>
      </c>
      <c r="E19" t="s">
        <v>598</v>
      </c>
    </row>
    <row r="20" spans="1:5" x14ac:dyDescent="0.2">
      <c r="A20" t="s">
        <v>826</v>
      </c>
      <c r="B20" t="s">
        <v>827</v>
      </c>
      <c r="C20" t="s">
        <v>155</v>
      </c>
      <c r="D20" t="s">
        <v>1058</v>
      </c>
      <c r="E20" t="s">
        <v>598</v>
      </c>
    </row>
    <row r="21" spans="1:5" x14ac:dyDescent="0.2">
      <c r="A21" t="s">
        <v>828</v>
      </c>
      <c r="B21" t="s">
        <v>829</v>
      </c>
      <c r="C21" t="s">
        <v>153</v>
      </c>
      <c r="D21" t="s">
        <v>1058</v>
      </c>
      <c r="E21" t="s">
        <v>598</v>
      </c>
    </row>
    <row r="22" spans="1:5" x14ac:dyDescent="0.2">
      <c r="A22" t="s">
        <v>830</v>
      </c>
      <c r="B22" t="s">
        <v>831</v>
      </c>
      <c r="C22" t="s">
        <v>151</v>
      </c>
      <c r="D22" t="s">
        <v>1058</v>
      </c>
      <c r="E22" t="s">
        <v>598</v>
      </c>
    </row>
    <row r="23" spans="1:5" x14ac:dyDescent="0.2">
      <c r="A23" t="s">
        <v>832</v>
      </c>
      <c r="B23" t="s">
        <v>833</v>
      </c>
      <c r="C23" t="s">
        <v>149</v>
      </c>
      <c r="D23" t="s">
        <v>1058</v>
      </c>
      <c r="E23" t="s">
        <v>598</v>
      </c>
    </row>
    <row r="24" spans="1:5" x14ac:dyDescent="0.2">
      <c r="A24" t="s">
        <v>834</v>
      </c>
      <c r="B24" t="s">
        <v>835</v>
      </c>
      <c r="C24" t="s">
        <v>147</v>
      </c>
      <c r="D24" t="s">
        <v>1058</v>
      </c>
      <c r="E24" t="s">
        <v>598</v>
      </c>
    </row>
    <row r="25" spans="1:5" x14ac:dyDescent="0.2">
      <c r="A25" t="s">
        <v>836</v>
      </c>
      <c r="B25" t="s">
        <v>837</v>
      </c>
      <c r="C25" t="s">
        <v>145</v>
      </c>
      <c r="D25" t="s">
        <v>1058</v>
      </c>
      <c r="E25" t="s">
        <v>598</v>
      </c>
    </row>
    <row r="26" spans="1:5" x14ac:dyDescent="0.2">
      <c r="A26" t="s">
        <v>838</v>
      </c>
      <c r="B26" t="s">
        <v>839</v>
      </c>
      <c r="C26" t="s">
        <v>143</v>
      </c>
      <c r="D26" t="s">
        <v>1058</v>
      </c>
      <c r="E26" t="s">
        <v>598</v>
      </c>
    </row>
    <row r="27" spans="1:5" x14ac:dyDescent="0.2">
      <c r="A27" t="s">
        <v>840</v>
      </c>
      <c r="B27" t="s">
        <v>841</v>
      </c>
      <c r="C27" t="s">
        <v>141</v>
      </c>
      <c r="D27" t="s">
        <v>1058</v>
      </c>
      <c r="E27" t="s">
        <v>598</v>
      </c>
    </row>
    <row r="28" spans="1:5" x14ac:dyDescent="0.2">
      <c r="A28" t="s">
        <v>842</v>
      </c>
      <c r="B28" t="s">
        <v>843</v>
      </c>
      <c r="C28" t="s">
        <v>147</v>
      </c>
      <c r="D28" t="s">
        <v>1058</v>
      </c>
      <c r="E28" t="s">
        <v>598</v>
      </c>
    </row>
    <row r="29" spans="1:5" x14ac:dyDescent="0.2">
      <c r="A29" t="s">
        <v>844</v>
      </c>
      <c r="B29" t="s">
        <v>845</v>
      </c>
      <c r="C29" t="s">
        <v>145</v>
      </c>
      <c r="D29" t="s">
        <v>1058</v>
      </c>
      <c r="E29" t="s">
        <v>598</v>
      </c>
    </row>
    <row r="30" spans="1:5" x14ac:dyDescent="0.2">
      <c r="A30" t="s">
        <v>846</v>
      </c>
      <c r="B30" t="s">
        <v>847</v>
      </c>
      <c r="C30" t="s">
        <v>143</v>
      </c>
      <c r="D30" t="s">
        <v>1058</v>
      </c>
      <c r="E30" t="s">
        <v>598</v>
      </c>
    </row>
    <row r="31" spans="1:5" x14ac:dyDescent="0.2">
      <c r="A31" t="s">
        <v>848</v>
      </c>
      <c r="B31" t="s">
        <v>849</v>
      </c>
      <c r="C31" t="s">
        <v>141</v>
      </c>
      <c r="D31" t="s">
        <v>1058</v>
      </c>
      <c r="E31" t="s">
        <v>598</v>
      </c>
    </row>
    <row r="32" spans="1:5" x14ac:dyDescent="0.2">
      <c r="A32" t="s">
        <v>850</v>
      </c>
      <c r="B32" t="s">
        <v>851</v>
      </c>
      <c r="C32" t="s">
        <v>147</v>
      </c>
      <c r="D32" t="s">
        <v>1058</v>
      </c>
      <c r="E32" t="s">
        <v>598</v>
      </c>
    </row>
    <row r="33" spans="1:5" x14ac:dyDescent="0.2">
      <c r="A33" t="s">
        <v>852</v>
      </c>
      <c r="B33" t="s">
        <v>853</v>
      </c>
      <c r="C33" t="s">
        <v>145</v>
      </c>
      <c r="D33" t="s">
        <v>1058</v>
      </c>
      <c r="E33" t="s">
        <v>598</v>
      </c>
    </row>
    <row r="34" spans="1:5" x14ac:dyDescent="0.2">
      <c r="A34" t="s">
        <v>854</v>
      </c>
      <c r="B34" t="s">
        <v>855</v>
      </c>
      <c r="C34" t="s">
        <v>143</v>
      </c>
      <c r="D34" t="s">
        <v>1058</v>
      </c>
      <c r="E34" t="s">
        <v>598</v>
      </c>
    </row>
    <row r="35" spans="1:5" x14ac:dyDescent="0.2">
      <c r="A35" t="s">
        <v>856</v>
      </c>
      <c r="B35" t="s">
        <v>857</v>
      </c>
      <c r="C35" t="s">
        <v>141</v>
      </c>
      <c r="D35" t="s">
        <v>1058</v>
      </c>
      <c r="E35" t="s">
        <v>598</v>
      </c>
    </row>
    <row r="36" spans="1:5" x14ac:dyDescent="0.2">
      <c r="A36" t="s">
        <v>858</v>
      </c>
      <c r="B36" t="s">
        <v>859</v>
      </c>
      <c r="C36" t="s">
        <v>147</v>
      </c>
      <c r="D36" t="s">
        <v>1058</v>
      </c>
      <c r="E36" t="s">
        <v>598</v>
      </c>
    </row>
    <row r="37" spans="1:5" x14ac:dyDescent="0.2">
      <c r="A37" t="s">
        <v>860</v>
      </c>
      <c r="B37" t="s">
        <v>861</v>
      </c>
      <c r="C37" t="s">
        <v>145</v>
      </c>
      <c r="D37" t="s">
        <v>1058</v>
      </c>
      <c r="E37" t="s">
        <v>598</v>
      </c>
    </row>
    <row r="38" spans="1:5" x14ac:dyDescent="0.2">
      <c r="A38" t="s">
        <v>862</v>
      </c>
      <c r="B38" t="s">
        <v>863</v>
      </c>
      <c r="C38" t="s">
        <v>143</v>
      </c>
      <c r="D38" t="s">
        <v>1058</v>
      </c>
      <c r="E38" t="s">
        <v>598</v>
      </c>
    </row>
    <row r="39" spans="1:5" x14ac:dyDescent="0.2">
      <c r="A39" t="s">
        <v>864</v>
      </c>
      <c r="B39" t="s">
        <v>865</v>
      </c>
      <c r="C39" t="s">
        <v>141</v>
      </c>
      <c r="D39" t="s">
        <v>1058</v>
      </c>
      <c r="E39" t="s">
        <v>598</v>
      </c>
    </row>
  </sheetData>
  <autoFilter ref="A1:G39" xr:uid="{A7F8FB06-E43B-3C48-8975-3BFD36AD08EA}"/>
  <pageMargins left="0.7" right="0.7" top="0.75" bottom="0.75" header="0.3" footer="0.3"/>
  <pageSetup orientation="portrait" horizontalDpi="0" verticalDpi="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B12C7-7B1B-FE4E-98F7-837E2CE65896}">
  <dimension ref="A1:G39"/>
  <sheetViews>
    <sheetView zoomScale="175" workbookViewId="0">
      <selection sqref="A1:C39"/>
    </sheetView>
  </sheetViews>
  <sheetFormatPr baseColWidth="10" defaultRowHeight="16" x14ac:dyDescent="0.2"/>
  <cols>
    <col min="2" max="2" width="24.6640625" customWidth="1"/>
    <col min="3" max="3" width="42.5" customWidth="1"/>
    <col min="4" max="4" width="18" customWidth="1"/>
  </cols>
  <sheetData>
    <row r="1" spans="1:7" x14ac:dyDescent="0.2">
      <c r="A1" t="s">
        <v>603</v>
      </c>
      <c r="B1" t="s">
        <v>1055</v>
      </c>
      <c r="C1" t="s">
        <v>557</v>
      </c>
      <c r="D1" t="s">
        <v>1056</v>
      </c>
      <c r="E1" s="2" t="s">
        <v>599</v>
      </c>
      <c r="F1" s="2" t="s">
        <v>605</v>
      </c>
      <c r="G1" s="2" t="s">
        <v>606</v>
      </c>
    </row>
    <row r="2" spans="1:7" x14ac:dyDescent="0.2">
      <c r="A2" t="s">
        <v>992</v>
      </c>
      <c r="B2" t="s">
        <v>993</v>
      </c>
      <c r="C2" t="s">
        <v>678</v>
      </c>
      <c r="D2" t="s">
        <v>1058</v>
      </c>
      <c r="E2" t="s">
        <v>598</v>
      </c>
    </row>
    <row r="3" spans="1:7" x14ac:dyDescent="0.2">
      <c r="A3" t="s">
        <v>994</v>
      </c>
      <c r="B3" t="s">
        <v>993</v>
      </c>
      <c r="C3" t="s">
        <v>189</v>
      </c>
      <c r="D3" t="s">
        <v>1057</v>
      </c>
      <c r="E3" t="s">
        <v>598</v>
      </c>
    </row>
    <row r="4" spans="1:7" x14ac:dyDescent="0.2">
      <c r="A4" t="s">
        <v>995</v>
      </c>
      <c r="B4" t="s">
        <v>993</v>
      </c>
      <c r="C4" t="s">
        <v>187</v>
      </c>
      <c r="D4" t="s">
        <v>1058</v>
      </c>
      <c r="E4" t="s">
        <v>598</v>
      </c>
    </row>
    <row r="5" spans="1:7" x14ac:dyDescent="0.2">
      <c r="A5" t="s">
        <v>996</v>
      </c>
      <c r="B5" t="s">
        <v>993</v>
      </c>
      <c r="C5" t="s">
        <v>185</v>
      </c>
      <c r="D5" t="s">
        <v>1057</v>
      </c>
      <c r="E5" t="s">
        <v>598</v>
      </c>
    </row>
    <row r="6" spans="1:7" x14ac:dyDescent="0.2">
      <c r="A6" t="s">
        <v>997</v>
      </c>
      <c r="B6" t="s">
        <v>993</v>
      </c>
      <c r="C6" t="s">
        <v>183</v>
      </c>
      <c r="D6" t="s">
        <v>1058</v>
      </c>
      <c r="E6" t="s">
        <v>598</v>
      </c>
    </row>
    <row r="7" spans="1:7" x14ac:dyDescent="0.2">
      <c r="A7" t="s">
        <v>998</v>
      </c>
      <c r="B7" t="s">
        <v>993</v>
      </c>
      <c r="C7" t="s">
        <v>181</v>
      </c>
      <c r="D7" t="s">
        <v>1057</v>
      </c>
      <c r="E7" t="s">
        <v>598</v>
      </c>
    </row>
    <row r="8" spans="1:7" x14ac:dyDescent="0.2">
      <c r="A8" t="s">
        <v>999</v>
      </c>
      <c r="B8" t="s">
        <v>993</v>
      </c>
      <c r="C8" t="s">
        <v>179</v>
      </c>
      <c r="D8" t="s">
        <v>1058</v>
      </c>
      <c r="E8" t="s">
        <v>598</v>
      </c>
    </row>
    <row r="9" spans="1:7" x14ac:dyDescent="0.2">
      <c r="A9" t="s">
        <v>1000</v>
      </c>
      <c r="B9" t="s">
        <v>993</v>
      </c>
      <c r="C9" t="s">
        <v>177</v>
      </c>
      <c r="D9" t="s">
        <v>1057</v>
      </c>
      <c r="E9" t="s">
        <v>598</v>
      </c>
    </row>
    <row r="10" spans="1:7" x14ac:dyDescent="0.2">
      <c r="A10" t="s">
        <v>1001</v>
      </c>
      <c r="B10" t="s">
        <v>993</v>
      </c>
      <c r="C10" t="s">
        <v>175</v>
      </c>
      <c r="D10" t="s">
        <v>1058</v>
      </c>
      <c r="E10" t="s">
        <v>598</v>
      </c>
    </row>
    <row r="11" spans="1:7" x14ac:dyDescent="0.2">
      <c r="A11" t="s">
        <v>1002</v>
      </c>
      <c r="B11" t="s">
        <v>993</v>
      </c>
      <c r="C11" t="s">
        <v>173</v>
      </c>
      <c r="D11" t="s">
        <v>1057</v>
      </c>
      <c r="E11" t="s">
        <v>598</v>
      </c>
    </row>
    <row r="12" spans="1:7" x14ac:dyDescent="0.2">
      <c r="A12" t="s">
        <v>1003</v>
      </c>
      <c r="B12" t="s">
        <v>1004</v>
      </c>
      <c r="C12" t="s">
        <v>171</v>
      </c>
      <c r="D12" t="s">
        <v>1057</v>
      </c>
      <c r="E12" t="s">
        <v>598</v>
      </c>
    </row>
    <row r="13" spans="1:7" x14ac:dyDescent="0.2">
      <c r="A13" t="s">
        <v>1005</v>
      </c>
      <c r="B13" t="s">
        <v>1006</v>
      </c>
      <c r="C13" t="s">
        <v>169</v>
      </c>
      <c r="D13" t="s">
        <v>1057</v>
      </c>
      <c r="E13" t="s">
        <v>598</v>
      </c>
    </row>
    <row r="14" spans="1:7" x14ac:dyDescent="0.2">
      <c r="A14" t="s">
        <v>1007</v>
      </c>
      <c r="B14" t="s">
        <v>1008</v>
      </c>
      <c r="C14" t="s">
        <v>167</v>
      </c>
      <c r="D14" t="s">
        <v>1057</v>
      </c>
      <c r="E14" t="s">
        <v>598</v>
      </c>
    </row>
    <row r="15" spans="1:7" x14ac:dyDescent="0.2">
      <c r="A15" t="s">
        <v>1009</v>
      </c>
      <c r="B15" t="s">
        <v>1010</v>
      </c>
      <c r="C15" t="s">
        <v>165</v>
      </c>
      <c r="D15" t="s">
        <v>1058</v>
      </c>
      <c r="E15" t="s">
        <v>598</v>
      </c>
    </row>
    <row r="16" spans="1:7" x14ac:dyDescent="0.2">
      <c r="A16" t="s">
        <v>1011</v>
      </c>
      <c r="B16" t="s">
        <v>1004</v>
      </c>
      <c r="C16" t="s">
        <v>163</v>
      </c>
      <c r="D16" t="s">
        <v>1058</v>
      </c>
      <c r="E16" t="s">
        <v>598</v>
      </c>
    </row>
    <row r="17" spans="1:5" x14ac:dyDescent="0.2">
      <c r="A17" t="s">
        <v>1012</v>
      </c>
      <c r="B17" t="s">
        <v>1006</v>
      </c>
      <c r="C17" t="s">
        <v>161</v>
      </c>
      <c r="D17" t="s">
        <v>1058</v>
      </c>
      <c r="E17" t="s">
        <v>598</v>
      </c>
    </row>
    <row r="18" spans="1:5" x14ac:dyDescent="0.2">
      <c r="A18" t="s">
        <v>1013</v>
      </c>
      <c r="B18" t="s">
        <v>1008</v>
      </c>
      <c r="C18" t="s">
        <v>159</v>
      </c>
      <c r="D18" t="s">
        <v>1058</v>
      </c>
      <c r="E18" t="s">
        <v>598</v>
      </c>
    </row>
    <row r="19" spans="1:5" x14ac:dyDescent="0.2">
      <c r="A19" t="s">
        <v>1014</v>
      </c>
      <c r="B19" t="s">
        <v>1010</v>
      </c>
      <c r="C19" t="s">
        <v>157</v>
      </c>
      <c r="D19" t="s">
        <v>1058</v>
      </c>
      <c r="E19" t="s">
        <v>598</v>
      </c>
    </row>
    <row r="20" spans="1:5" x14ac:dyDescent="0.2">
      <c r="A20" t="s">
        <v>1015</v>
      </c>
      <c r="B20" t="s">
        <v>1016</v>
      </c>
      <c r="C20" t="s">
        <v>155</v>
      </c>
      <c r="D20" t="s">
        <v>1058</v>
      </c>
      <c r="E20" t="s">
        <v>598</v>
      </c>
    </row>
    <row r="21" spans="1:5" x14ac:dyDescent="0.2">
      <c r="A21" t="s">
        <v>1017</v>
      </c>
      <c r="B21" t="s">
        <v>1018</v>
      </c>
      <c r="C21" t="s">
        <v>153</v>
      </c>
      <c r="D21" t="s">
        <v>1058</v>
      </c>
      <c r="E21" t="s">
        <v>598</v>
      </c>
    </row>
    <row r="22" spans="1:5" x14ac:dyDescent="0.2">
      <c r="A22" t="s">
        <v>1019</v>
      </c>
      <c r="B22" t="s">
        <v>1020</v>
      </c>
      <c r="C22" t="s">
        <v>151</v>
      </c>
      <c r="D22" t="s">
        <v>1058</v>
      </c>
      <c r="E22" t="s">
        <v>598</v>
      </c>
    </row>
    <row r="23" spans="1:5" x14ac:dyDescent="0.2">
      <c r="A23" t="s">
        <v>1021</v>
      </c>
      <c r="B23" t="s">
        <v>1022</v>
      </c>
      <c r="C23" t="s">
        <v>149</v>
      </c>
      <c r="D23" t="s">
        <v>1058</v>
      </c>
      <c r="E23" t="s">
        <v>598</v>
      </c>
    </row>
    <row r="24" spans="1:5" x14ac:dyDescent="0.2">
      <c r="A24" t="s">
        <v>1023</v>
      </c>
      <c r="B24" t="s">
        <v>1024</v>
      </c>
      <c r="C24" t="s">
        <v>147</v>
      </c>
      <c r="D24" t="s">
        <v>1058</v>
      </c>
      <c r="E24" t="s">
        <v>598</v>
      </c>
    </row>
    <row r="25" spans="1:5" x14ac:dyDescent="0.2">
      <c r="A25" t="s">
        <v>1025</v>
      </c>
      <c r="B25" t="s">
        <v>1026</v>
      </c>
      <c r="C25" t="s">
        <v>145</v>
      </c>
      <c r="D25" t="s">
        <v>1058</v>
      </c>
      <c r="E25" t="s">
        <v>598</v>
      </c>
    </row>
    <row r="26" spans="1:5" x14ac:dyDescent="0.2">
      <c r="A26" t="s">
        <v>1027</v>
      </c>
      <c r="B26" t="s">
        <v>1028</v>
      </c>
      <c r="C26" t="s">
        <v>143</v>
      </c>
      <c r="D26" t="s">
        <v>1058</v>
      </c>
      <c r="E26" t="s">
        <v>598</v>
      </c>
    </row>
    <row r="27" spans="1:5" x14ac:dyDescent="0.2">
      <c r="A27" t="s">
        <v>1029</v>
      </c>
      <c r="B27" t="s">
        <v>1030</v>
      </c>
      <c r="C27" t="s">
        <v>141</v>
      </c>
      <c r="D27" t="s">
        <v>1058</v>
      </c>
      <c r="E27" t="s">
        <v>598</v>
      </c>
    </row>
    <row r="28" spans="1:5" x14ac:dyDescent="0.2">
      <c r="A28" t="s">
        <v>1031</v>
      </c>
      <c r="B28" t="s">
        <v>1032</v>
      </c>
      <c r="C28" t="s">
        <v>147</v>
      </c>
      <c r="D28" t="s">
        <v>1058</v>
      </c>
      <c r="E28" t="s">
        <v>598</v>
      </c>
    </row>
    <row r="29" spans="1:5" x14ac:dyDescent="0.2">
      <c r="A29" t="s">
        <v>1033</v>
      </c>
      <c r="B29" t="s">
        <v>1034</v>
      </c>
      <c r="C29" t="s">
        <v>145</v>
      </c>
      <c r="D29" t="s">
        <v>1058</v>
      </c>
      <c r="E29" t="s">
        <v>598</v>
      </c>
    </row>
    <row r="30" spans="1:5" x14ac:dyDescent="0.2">
      <c r="A30" t="s">
        <v>1035</v>
      </c>
      <c r="B30" t="s">
        <v>1036</v>
      </c>
      <c r="C30" t="s">
        <v>143</v>
      </c>
      <c r="D30" t="s">
        <v>1058</v>
      </c>
      <c r="E30" t="s">
        <v>598</v>
      </c>
    </row>
    <row r="31" spans="1:5" x14ac:dyDescent="0.2">
      <c r="A31" t="s">
        <v>1037</v>
      </c>
      <c r="B31" t="s">
        <v>1038</v>
      </c>
      <c r="C31" t="s">
        <v>141</v>
      </c>
      <c r="D31" t="s">
        <v>1058</v>
      </c>
      <c r="E31" t="s">
        <v>598</v>
      </c>
    </row>
    <row r="32" spans="1:5" x14ac:dyDescent="0.2">
      <c r="A32" t="s">
        <v>1039</v>
      </c>
      <c r="B32" t="s">
        <v>1040</v>
      </c>
      <c r="C32" t="s">
        <v>147</v>
      </c>
      <c r="D32" t="s">
        <v>1058</v>
      </c>
      <c r="E32" t="s">
        <v>598</v>
      </c>
    </row>
    <row r="33" spans="1:5" x14ac:dyDescent="0.2">
      <c r="A33" t="s">
        <v>1041</v>
      </c>
      <c r="B33" t="s">
        <v>1042</v>
      </c>
      <c r="C33" t="s">
        <v>145</v>
      </c>
      <c r="D33" t="s">
        <v>1058</v>
      </c>
      <c r="E33" t="s">
        <v>598</v>
      </c>
    </row>
    <row r="34" spans="1:5" x14ac:dyDescent="0.2">
      <c r="A34" t="s">
        <v>1043</v>
      </c>
      <c r="B34" t="s">
        <v>1044</v>
      </c>
      <c r="C34" t="s">
        <v>143</v>
      </c>
      <c r="D34" t="s">
        <v>1058</v>
      </c>
      <c r="E34" t="s">
        <v>598</v>
      </c>
    </row>
    <row r="35" spans="1:5" x14ac:dyDescent="0.2">
      <c r="A35" t="s">
        <v>1045</v>
      </c>
      <c r="B35" t="s">
        <v>1046</v>
      </c>
      <c r="C35" t="s">
        <v>141</v>
      </c>
      <c r="D35" t="s">
        <v>1058</v>
      </c>
      <c r="E35" t="s">
        <v>598</v>
      </c>
    </row>
    <row r="36" spans="1:5" x14ac:dyDescent="0.2">
      <c r="A36" t="s">
        <v>1047</v>
      </c>
      <c r="B36" t="s">
        <v>1048</v>
      </c>
      <c r="C36" t="s">
        <v>147</v>
      </c>
      <c r="D36" t="s">
        <v>1058</v>
      </c>
      <c r="E36" t="s">
        <v>598</v>
      </c>
    </row>
    <row r="37" spans="1:5" x14ac:dyDescent="0.2">
      <c r="A37" t="s">
        <v>1049</v>
      </c>
      <c r="B37" t="s">
        <v>1050</v>
      </c>
      <c r="C37" t="s">
        <v>145</v>
      </c>
      <c r="D37" t="s">
        <v>1058</v>
      </c>
      <c r="E37" t="s">
        <v>598</v>
      </c>
    </row>
    <row r="38" spans="1:5" x14ac:dyDescent="0.2">
      <c r="A38" t="s">
        <v>1051</v>
      </c>
      <c r="B38" t="s">
        <v>1052</v>
      </c>
      <c r="C38" t="s">
        <v>143</v>
      </c>
      <c r="D38" t="s">
        <v>1058</v>
      </c>
      <c r="E38" t="s">
        <v>598</v>
      </c>
    </row>
    <row r="39" spans="1:5" x14ac:dyDescent="0.2">
      <c r="A39" t="s">
        <v>1053</v>
      </c>
      <c r="B39" t="s">
        <v>1054</v>
      </c>
      <c r="C39" t="s">
        <v>141</v>
      </c>
      <c r="D39" t="s">
        <v>1058</v>
      </c>
      <c r="E39" t="s">
        <v>598</v>
      </c>
    </row>
  </sheetData>
  <autoFilter ref="A1:G39" xr:uid="{D51B12C7-7B1B-FE4E-98F7-837E2CE65896}"/>
  <pageMargins left="0.7" right="0.7" top="0.75" bottom="0.75" header="0.3" footer="0.3"/>
  <pageSetup orientation="portrait" horizontalDpi="0" verticalDpi="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CD9BF-6D09-2D43-917F-369CCDE75632}">
  <dimension ref="A1:H39"/>
  <sheetViews>
    <sheetView topLeftCell="A11" zoomScale="150" workbookViewId="0">
      <selection activeCell="H35" sqref="H35"/>
    </sheetView>
  </sheetViews>
  <sheetFormatPr baseColWidth="10" defaultRowHeight="16" x14ac:dyDescent="0.2"/>
  <cols>
    <col min="2" max="2" width="17.33203125" customWidth="1"/>
    <col min="3" max="3" width="43.1640625" customWidth="1"/>
    <col min="4" max="4" width="18.6640625" customWidth="1"/>
  </cols>
  <sheetData>
    <row r="1" spans="1:8" x14ac:dyDescent="0.2">
      <c r="A1" t="s">
        <v>603</v>
      </c>
      <c r="B1" t="s">
        <v>1055</v>
      </c>
      <c r="C1" t="s">
        <v>557</v>
      </c>
      <c r="D1" t="s">
        <v>1056</v>
      </c>
      <c r="E1" s="2" t="s">
        <v>599</v>
      </c>
      <c r="F1" s="2" t="s">
        <v>605</v>
      </c>
      <c r="G1" s="2" t="s">
        <v>606</v>
      </c>
      <c r="H1" s="2"/>
    </row>
    <row r="2" spans="1:8" x14ac:dyDescent="0.2">
      <c r="A2" t="s">
        <v>866</v>
      </c>
      <c r="B2" t="s">
        <v>867</v>
      </c>
      <c r="C2" t="s">
        <v>678</v>
      </c>
      <c r="D2" t="s">
        <v>1058</v>
      </c>
      <c r="E2" t="s">
        <v>598</v>
      </c>
    </row>
    <row r="3" spans="1:8" x14ac:dyDescent="0.2">
      <c r="A3" t="s">
        <v>868</v>
      </c>
      <c r="B3" t="s">
        <v>867</v>
      </c>
      <c r="C3" t="s">
        <v>189</v>
      </c>
      <c r="D3" t="s">
        <v>1057</v>
      </c>
      <c r="E3" t="s">
        <v>598</v>
      </c>
    </row>
    <row r="4" spans="1:8" x14ac:dyDescent="0.2">
      <c r="A4" t="s">
        <v>869</v>
      </c>
      <c r="B4" t="s">
        <v>867</v>
      </c>
      <c r="C4" t="s">
        <v>187</v>
      </c>
      <c r="D4" t="s">
        <v>1058</v>
      </c>
      <c r="E4" t="s">
        <v>598</v>
      </c>
    </row>
    <row r="5" spans="1:8" x14ac:dyDescent="0.2">
      <c r="A5" t="s">
        <v>870</v>
      </c>
      <c r="B5" t="s">
        <v>867</v>
      </c>
      <c r="C5" t="s">
        <v>185</v>
      </c>
      <c r="D5" t="s">
        <v>1057</v>
      </c>
      <c r="E5" t="s">
        <v>598</v>
      </c>
    </row>
    <row r="6" spans="1:8" x14ac:dyDescent="0.2">
      <c r="A6" t="s">
        <v>871</v>
      </c>
      <c r="B6" t="s">
        <v>867</v>
      </c>
      <c r="C6" t="s">
        <v>183</v>
      </c>
      <c r="D6" t="s">
        <v>1058</v>
      </c>
      <c r="E6" t="s">
        <v>598</v>
      </c>
    </row>
    <row r="7" spans="1:8" x14ac:dyDescent="0.2">
      <c r="A7" t="s">
        <v>872</v>
      </c>
      <c r="B7" t="s">
        <v>867</v>
      </c>
      <c r="C7" t="s">
        <v>181</v>
      </c>
      <c r="D7" t="s">
        <v>1057</v>
      </c>
      <c r="E7" t="s">
        <v>598</v>
      </c>
    </row>
    <row r="8" spans="1:8" x14ac:dyDescent="0.2">
      <c r="A8" t="s">
        <v>873</v>
      </c>
      <c r="B8" t="s">
        <v>867</v>
      </c>
      <c r="C8" t="s">
        <v>179</v>
      </c>
      <c r="D8" t="s">
        <v>1058</v>
      </c>
      <c r="E8" t="s">
        <v>598</v>
      </c>
    </row>
    <row r="9" spans="1:8" x14ac:dyDescent="0.2">
      <c r="A9" t="s">
        <v>874</v>
      </c>
      <c r="B9" t="s">
        <v>867</v>
      </c>
      <c r="C9" t="s">
        <v>177</v>
      </c>
      <c r="D9" t="s">
        <v>1057</v>
      </c>
      <c r="E9" t="s">
        <v>598</v>
      </c>
    </row>
    <row r="10" spans="1:8" x14ac:dyDescent="0.2">
      <c r="A10" t="s">
        <v>875</v>
      </c>
      <c r="B10" t="s">
        <v>867</v>
      </c>
      <c r="C10" t="s">
        <v>175</v>
      </c>
      <c r="D10" t="s">
        <v>1058</v>
      </c>
      <c r="E10" t="s">
        <v>598</v>
      </c>
    </row>
    <row r="11" spans="1:8" x14ac:dyDescent="0.2">
      <c r="A11" t="s">
        <v>876</v>
      </c>
      <c r="B11" t="s">
        <v>867</v>
      </c>
      <c r="C11" t="s">
        <v>173</v>
      </c>
      <c r="D11" t="s">
        <v>1057</v>
      </c>
      <c r="E11" t="s">
        <v>598</v>
      </c>
    </row>
    <row r="12" spans="1:8" x14ac:dyDescent="0.2">
      <c r="A12" t="s">
        <v>877</v>
      </c>
      <c r="B12" t="s">
        <v>878</v>
      </c>
      <c r="C12" t="s">
        <v>171</v>
      </c>
      <c r="D12" t="s">
        <v>1057</v>
      </c>
      <c r="E12" t="s">
        <v>598</v>
      </c>
    </row>
    <row r="13" spans="1:8" x14ac:dyDescent="0.2">
      <c r="A13" t="s">
        <v>879</v>
      </c>
      <c r="B13" t="s">
        <v>880</v>
      </c>
      <c r="C13" t="s">
        <v>169</v>
      </c>
      <c r="D13" t="s">
        <v>1057</v>
      </c>
      <c r="E13" t="s">
        <v>598</v>
      </c>
    </row>
    <row r="14" spans="1:8" x14ac:dyDescent="0.2">
      <c r="A14" t="s">
        <v>881</v>
      </c>
      <c r="B14" t="s">
        <v>882</v>
      </c>
      <c r="C14" t="s">
        <v>167</v>
      </c>
      <c r="D14" t="s">
        <v>1057</v>
      </c>
      <c r="E14" t="s">
        <v>598</v>
      </c>
    </row>
    <row r="15" spans="1:8" x14ac:dyDescent="0.2">
      <c r="A15" t="s">
        <v>883</v>
      </c>
      <c r="B15" t="s">
        <v>884</v>
      </c>
      <c r="C15" t="s">
        <v>165</v>
      </c>
      <c r="D15" t="s">
        <v>1057</v>
      </c>
      <c r="E15" t="s">
        <v>598</v>
      </c>
    </row>
    <row r="16" spans="1:8" x14ac:dyDescent="0.2">
      <c r="A16" t="s">
        <v>885</v>
      </c>
      <c r="B16" t="s">
        <v>878</v>
      </c>
      <c r="C16" t="s">
        <v>163</v>
      </c>
      <c r="D16" t="s">
        <v>1058</v>
      </c>
      <c r="E16" t="s">
        <v>598</v>
      </c>
    </row>
    <row r="17" spans="1:5" x14ac:dyDescent="0.2">
      <c r="A17" t="s">
        <v>886</v>
      </c>
      <c r="B17" t="s">
        <v>880</v>
      </c>
      <c r="C17" t="s">
        <v>161</v>
      </c>
      <c r="D17" t="s">
        <v>1058</v>
      </c>
      <c r="E17" t="s">
        <v>598</v>
      </c>
    </row>
    <row r="18" spans="1:5" x14ac:dyDescent="0.2">
      <c r="A18" t="s">
        <v>887</v>
      </c>
      <c r="B18" t="s">
        <v>882</v>
      </c>
      <c r="C18" t="s">
        <v>159</v>
      </c>
      <c r="D18" t="s">
        <v>1058</v>
      </c>
      <c r="E18" t="s">
        <v>598</v>
      </c>
    </row>
    <row r="19" spans="1:5" x14ac:dyDescent="0.2">
      <c r="A19" t="s">
        <v>888</v>
      </c>
      <c r="B19" t="s">
        <v>884</v>
      </c>
      <c r="C19" t="s">
        <v>157</v>
      </c>
      <c r="D19" t="s">
        <v>1058</v>
      </c>
      <c r="E19" t="s">
        <v>598</v>
      </c>
    </row>
    <row r="20" spans="1:5" x14ac:dyDescent="0.2">
      <c r="A20" t="s">
        <v>889</v>
      </c>
      <c r="B20" t="s">
        <v>890</v>
      </c>
      <c r="C20" t="s">
        <v>155</v>
      </c>
      <c r="D20" t="s">
        <v>1058</v>
      </c>
      <c r="E20" t="s">
        <v>598</v>
      </c>
    </row>
    <row r="21" spans="1:5" x14ac:dyDescent="0.2">
      <c r="A21" t="s">
        <v>891</v>
      </c>
      <c r="B21" t="s">
        <v>892</v>
      </c>
      <c r="C21" t="s">
        <v>153</v>
      </c>
      <c r="D21" t="s">
        <v>1058</v>
      </c>
      <c r="E21" t="s">
        <v>598</v>
      </c>
    </row>
    <row r="22" spans="1:5" x14ac:dyDescent="0.2">
      <c r="A22" t="s">
        <v>893</v>
      </c>
      <c r="B22" t="s">
        <v>894</v>
      </c>
      <c r="C22" t="s">
        <v>151</v>
      </c>
      <c r="D22" t="s">
        <v>1058</v>
      </c>
      <c r="E22" t="s">
        <v>598</v>
      </c>
    </row>
    <row r="23" spans="1:5" x14ac:dyDescent="0.2">
      <c r="A23" t="s">
        <v>895</v>
      </c>
      <c r="B23" t="s">
        <v>896</v>
      </c>
      <c r="C23" t="s">
        <v>149</v>
      </c>
      <c r="D23" t="s">
        <v>1058</v>
      </c>
      <c r="E23" t="s">
        <v>598</v>
      </c>
    </row>
    <row r="24" spans="1:5" x14ac:dyDescent="0.2">
      <c r="A24" t="s">
        <v>897</v>
      </c>
      <c r="B24" t="s">
        <v>898</v>
      </c>
      <c r="C24" t="s">
        <v>147</v>
      </c>
      <c r="D24" t="s">
        <v>1058</v>
      </c>
      <c r="E24" t="s">
        <v>598</v>
      </c>
    </row>
    <row r="25" spans="1:5" x14ac:dyDescent="0.2">
      <c r="A25" t="s">
        <v>899</v>
      </c>
      <c r="B25" t="s">
        <v>900</v>
      </c>
      <c r="C25" t="s">
        <v>145</v>
      </c>
      <c r="D25" t="s">
        <v>1058</v>
      </c>
      <c r="E25" t="s">
        <v>598</v>
      </c>
    </row>
    <row r="26" spans="1:5" x14ac:dyDescent="0.2">
      <c r="A26" t="s">
        <v>901</v>
      </c>
      <c r="B26" t="s">
        <v>902</v>
      </c>
      <c r="C26" t="s">
        <v>143</v>
      </c>
      <c r="D26" t="s">
        <v>1058</v>
      </c>
      <c r="E26" t="s">
        <v>598</v>
      </c>
    </row>
    <row r="27" spans="1:5" x14ac:dyDescent="0.2">
      <c r="A27" t="s">
        <v>903</v>
      </c>
      <c r="B27" t="s">
        <v>904</v>
      </c>
      <c r="C27" t="s">
        <v>141</v>
      </c>
      <c r="D27" t="s">
        <v>1058</v>
      </c>
      <c r="E27" t="s">
        <v>598</v>
      </c>
    </row>
    <row r="28" spans="1:5" x14ac:dyDescent="0.2">
      <c r="A28" t="s">
        <v>905</v>
      </c>
      <c r="B28" t="s">
        <v>906</v>
      </c>
      <c r="C28" t="s">
        <v>147</v>
      </c>
      <c r="D28" t="s">
        <v>1058</v>
      </c>
      <c r="E28" t="s">
        <v>598</v>
      </c>
    </row>
    <row r="29" spans="1:5" x14ac:dyDescent="0.2">
      <c r="A29" t="s">
        <v>907</v>
      </c>
      <c r="B29" t="s">
        <v>908</v>
      </c>
      <c r="C29" t="s">
        <v>145</v>
      </c>
      <c r="D29" t="s">
        <v>1058</v>
      </c>
      <c r="E29" t="s">
        <v>598</v>
      </c>
    </row>
    <row r="30" spans="1:5" x14ac:dyDescent="0.2">
      <c r="A30" t="s">
        <v>909</v>
      </c>
      <c r="B30" t="s">
        <v>910</v>
      </c>
      <c r="C30" t="s">
        <v>143</v>
      </c>
      <c r="D30" t="s">
        <v>1058</v>
      </c>
      <c r="E30" t="s">
        <v>598</v>
      </c>
    </row>
    <row r="31" spans="1:5" x14ac:dyDescent="0.2">
      <c r="A31" t="s">
        <v>911</v>
      </c>
      <c r="B31" t="s">
        <v>912</v>
      </c>
      <c r="C31" t="s">
        <v>141</v>
      </c>
      <c r="D31" t="s">
        <v>1058</v>
      </c>
      <c r="E31" t="s">
        <v>598</v>
      </c>
    </row>
    <row r="32" spans="1:5" x14ac:dyDescent="0.2">
      <c r="A32" t="s">
        <v>913</v>
      </c>
      <c r="B32" t="s">
        <v>914</v>
      </c>
      <c r="C32" t="s">
        <v>147</v>
      </c>
      <c r="D32" t="s">
        <v>1058</v>
      </c>
      <c r="E32" t="s">
        <v>598</v>
      </c>
    </row>
    <row r="33" spans="1:5" x14ac:dyDescent="0.2">
      <c r="A33" t="s">
        <v>915</v>
      </c>
      <c r="B33" t="s">
        <v>916</v>
      </c>
      <c r="C33" t="s">
        <v>145</v>
      </c>
      <c r="D33" t="s">
        <v>1058</v>
      </c>
      <c r="E33" t="s">
        <v>598</v>
      </c>
    </row>
    <row r="34" spans="1:5" x14ac:dyDescent="0.2">
      <c r="A34" t="s">
        <v>917</v>
      </c>
      <c r="B34" t="s">
        <v>918</v>
      </c>
      <c r="C34" t="s">
        <v>143</v>
      </c>
      <c r="D34" t="s">
        <v>1058</v>
      </c>
      <c r="E34" t="s">
        <v>598</v>
      </c>
    </row>
    <row r="35" spans="1:5" x14ac:dyDescent="0.2">
      <c r="A35" t="s">
        <v>919</v>
      </c>
      <c r="B35" t="s">
        <v>920</v>
      </c>
      <c r="C35" t="s">
        <v>141</v>
      </c>
      <c r="D35" t="s">
        <v>1058</v>
      </c>
      <c r="E35" t="s">
        <v>598</v>
      </c>
    </row>
    <row r="36" spans="1:5" x14ac:dyDescent="0.2">
      <c r="A36" t="s">
        <v>921</v>
      </c>
      <c r="B36" t="s">
        <v>922</v>
      </c>
      <c r="C36" t="s">
        <v>147</v>
      </c>
      <c r="D36" t="s">
        <v>1058</v>
      </c>
      <c r="E36" t="s">
        <v>598</v>
      </c>
    </row>
    <row r="37" spans="1:5" x14ac:dyDescent="0.2">
      <c r="A37" t="s">
        <v>923</v>
      </c>
      <c r="B37" t="s">
        <v>924</v>
      </c>
      <c r="C37" t="s">
        <v>145</v>
      </c>
      <c r="D37" t="s">
        <v>1058</v>
      </c>
      <c r="E37" t="s">
        <v>598</v>
      </c>
    </row>
    <row r="38" spans="1:5" x14ac:dyDescent="0.2">
      <c r="A38" t="s">
        <v>925</v>
      </c>
      <c r="B38" t="s">
        <v>926</v>
      </c>
      <c r="C38" t="s">
        <v>143</v>
      </c>
      <c r="D38" t="s">
        <v>1058</v>
      </c>
      <c r="E38" t="s">
        <v>598</v>
      </c>
    </row>
    <row r="39" spans="1:5" x14ac:dyDescent="0.2">
      <c r="A39" t="s">
        <v>927</v>
      </c>
      <c r="B39" t="s">
        <v>928</v>
      </c>
      <c r="C39" t="s">
        <v>141</v>
      </c>
      <c r="D39" t="s">
        <v>1058</v>
      </c>
      <c r="E39" t="s">
        <v>598</v>
      </c>
    </row>
  </sheetData>
  <autoFilter ref="A1:G39" xr:uid="{82DCD9BF-6D09-2D43-917F-369CCDE75632}"/>
  <pageMargins left="0.7" right="0.7" top="0.75" bottom="0.75" header="0.3" footer="0.3"/>
  <pageSetup orientation="portrait" horizontalDpi="0" verticalDpi="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80FF8-A885-934B-A8F4-C05EC02324E0}">
  <dimension ref="A1:I39"/>
  <sheetViews>
    <sheetView zoomScale="137" workbookViewId="0">
      <selection activeCell="D27" sqref="D27"/>
    </sheetView>
  </sheetViews>
  <sheetFormatPr baseColWidth="10" defaultRowHeight="16" x14ac:dyDescent="0.2"/>
  <cols>
    <col min="2" max="2" width="29.1640625" customWidth="1"/>
    <col min="3" max="3" width="17.5" customWidth="1"/>
    <col min="4" max="4" width="41.6640625" customWidth="1"/>
    <col min="5" max="5" width="19.6640625" customWidth="1"/>
    <col min="6" max="6" width="15.83203125" customWidth="1"/>
    <col min="7" max="7" width="14.5" customWidth="1"/>
    <col min="8" max="8" width="14.6640625" customWidth="1"/>
    <col min="9" max="9" width="12.5" bestFit="1" customWidth="1"/>
  </cols>
  <sheetData>
    <row r="1" spans="1:9" x14ac:dyDescent="0.2">
      <c r="A1" t="s">
        <v>603</v>
      </c>
      <c r="B1" t="s">
        <v>609</v>
      </c>
      <c r="C1" t="s">
        <v>1055</v>
      </c>
      <c r="D1" t="s">
        <v>557</v>
      </c>
      <c r="E1" t="s">
        <v>1056</v>
      </c>
      <c r="F1" t="s">
        <v>599</v>
      </c>
      <c r="G1" t="s">
        <v>605</v>
      </c>
      <c r="H1" t="s">
        <v>606</v>
      </c>
      <c r="I1" t="s">
        <v>1060</v>
      </c>
    </row>
    <row r="2" spans="1:9" x14ac:dyDescent="0.2">
      <c r="A2" t="s">
        <v>192</v>
      </c>
      <c r="B2" t="s">
        <v>451</v>
      </c>
      <c r="C2" t="s">
        <v>451</v>
      </c>
      <c r="D2" t="s">
        <v>191</v>
      </c>
      <c r="E2" t="s">
        <v>1058</v>
      </c>
      <c r="F2" t="s">
        <v>598</v>
      </c>
      <c r="G2">
        <f>C2*(((C2*(1-C2))/(I2^2))-1)</f>
        <v>99.926292595467487</v>
      </c>
      <c r="H2">
        <f>(1 - C2) * ( ((C2 * (1 - C2)) / (I2^2)) - 1 )</f>
        <v>136827.36908777678</v>
      </c>
      <c r="I2">
        <f>(C2*0.1)</f>
        <v>7.297762825E-5</v>
      </c>
    </row>
    <row r="3" spans="1:9" x14ac:dyDescent="0.2">
      <c r="A3" t="s">
        <v>190</v>
      </c>
      <c r="B3" t="s">
        <v>451</v>
      </c>
      <c r="C3" t="s">
        <v>451</v>
      </c>
      <c r="D3" t="s">
        <v>189</v>
      </c>
      <c r="E3" t="s">
        <v>1057</v>
      </c>
      <c r="F3" t="s">
        <v>598</v>
      </c>
      <c r="G3">
        <f t="shared" ref="G3:G39" si="0">C3*(((C3*(1-C3))/(I3^2))-1)</f>
        <v>99.926292595467487</v>
      </c>
      <c r="H3">
        <f t="shared" ref="H3:H39" si="1">(1 - C3) * ( ((C3 * (1 - C3)) / (I3^2)) - 1 )</f>
        <v>136827.36908777678</v>
      </c>
      <c r="I3">
        <f t="shared" ref="I3:I39" si="2">(C3*0.1)</f>
        <v>7.297762825E-5</v>
      </c>
    </row>
    <row r="4" spans="1:9" x14ac:dyDescent="0.2">
      <c r="A4" t="s">
        <v>188</v>
      </c>
      <c r="B4" t="s">
        <v>451</v>
      </c>
      <c r="C4" t="s">
        <v>451</v>
      </c>
      <c r="D4" t="s">
        <v>187</v>
      </c>
      <c r="E4" t="s">
        <v>1058</v>
      </c>
      <c r="F4" t="s">
        <v>598</v>
      </c>
      <c r="G4">
        <f t="shared" si="0"/>
        <v>99.926292595467487</v>
      </c>
      <c r="H4">
        <f t="shared" si="1"/>
        <v>136827.36908777678</v>
      </c>
      <c r="I4">
        <f t="shared" si="2"/>
        <v>7.297762825E-5</v>
      </c>
    </row>
    <row r="5" spans="1:9" x14ac:dyDescent="0.2">
      <c r="A5" t="s">
        <v>186</v>
      </c>
      <c r="B5" t="s">
        <v>451</v>
      </c>
      <c r="C5" t="s">
        <v>451</v>
      </c>
      <c r="D5" t="s">
        <v>185</v>
      </c>
      <c r="E5" t="s">
        <v>1057</v>
      </c>
      <c r="F5" t="s">
        <v>598</v>
      </c>
      <c r="G5">
        <f t="shared" si="0"/>
        <v>99.926292595467487</v>
      </c>
      <c r="H5">
        <f t="shared" si="1"/>
        <v>136827.36908777678</v>
      </c>
      <c r="I5">
        <f t="shared" si="2"/>
        <v>7.297762825E-5</v>
      </c>
    </row>
    <row r="6" spans="1:9" x14ac:dyDescent="0.2">
      <c r="A6" t="s">
        <v>184</v>
      </c>
      <c r="B6" t="s">
        <v>451</v>
      </c>
      <c r="C6" t="s">
        <v>451</v>
      </c>
      <c r="D6" t="s">
        <v>183</v>
      </c>
      <c r="E6" t="s">
        <v>1058</v>
      </c>
      <c r="F6" t="s">
        <v>598</v>
      </c>
      <c r="G6">
        <f t="shared" si="0"/>
        <v>99.926292595467487</v>
      </c>
      <c r="H6">
        <f t="shared" si="1"/>
        <v>136827.36908777678</v>
      </c>
      <c r="I6">
        <f t="shared" si="2"/>
        <v>7.297762825E-5</v>
      </c>
    </row>
    <row r="7" spans="1:9" x14ac:dyDescent="0.2">
      <c r="A7" t="s">
        <v>182</v>
      </c>
      <c r="B7" t="s">
        <v>451</v>
      </c>
      <c r="C7" t="s">
        <v>451</v>
      </c>
      <c r="D7" t="s">
        <v>181</v>
      </c>
      <c r="E7" t="s">
        <v>1057</v>
      </c>
      <c r="F7" t="s">
        <v>598</v>
      </c>
      <c r="G7">
        <f t="shared" si="0"/>
        <v>99.926292595467487</v>
      </c>
      <c r="H7">
        <f t="shared" si="1"/>
        <v>136827.36908777678</v>
      </c>
      <c r="I7">
        <f t="shared" si="2"/>
        <v>7.297762825E-5</v>
      </c>
    </row>
    <row r="8" spans="1:9" x14ac:dyDescent="0.2">
      <c r="A8" t="s">
        <v>180</v>
      </c>
      <c r="B8" t="s">
        <v>451</v>
      </c>
      <c r="C8" t="s">
        <v>451</v>
      </c>
      <c r="D8" t="s">
        <v>179</v>
      </c>
      <c r="E8" t="s">
        <v>1058</v>
      </c>
      <c r="F8" t="s">
        <v>598</v>
      </c>
      <c r="G8">
        <f t="shared" si="0"/>
        <v>99.926292595467487</v>
      </c>
      <c r="H8">
        <f t="shared" si="1"/>
        <v>136827.36908777678</v>
      </c>
      <c r="I8">
        <f t="shared" si="2"/>
        <v>7.297762825E-5</v>
      </c>
    </row>
    <row r="9" spans="1:9" x14ac:dyDescent="0.2">
      <c r="A9" t="s">
        <v>178</v>
      </c>
      <c r="B9" t="s">
        <v>451</v>
      </c>
      <c r="C9" t="s">
        <v>451</v>
      </c>
      <c r="D9" t="s">
        <v>177</v>
      </c>
      <c r="E9" t="s">
        <v>1057</v>
      </c>
      <c r="F9" t="s">
        <v>598</v>
      </c>
      <c r="G9">
        <f t="shared" si="0"/>
        <v>99.926292595467487</v>
      </c>
      <c r="H9">
        <f t="shared" si="1"/>
        <v>136827.36908777678</v>
      </c>
      <c r="I9">
        <f t="shared" si="2"/>
        <v>7.297762825E-5</v>
      </c>
    </row>
    <row r="10" spans="1:9" x14ac:dyDescent="0.2">
      <c r="A10" t="s">
        <v>176</v>
      </c>
      <c r="B10" t="s">
        <v>451</v>
      </c>
      <c r="C10" t="s">
        <v>451</v>
      </c>
      <c r="D10" t="s">
        <v>175</v>
      </c>
      <c r="E10" t="s">
        <v>1058</v>
      </c>
      <c r="F10" t="s">
        <v>598</v>
      </c>
      <c r="G10">
        <f t="shared" si="0"/>
        <v>99.926292595467487</v>
      </c>
      <c r="H10">
        <f t="shared" si="1"/>
        <v>136827.36908777678</v>
      </c>
      <c r="I10">
        <f t="shared" si="2"/>
        <v>7.297762825E-5</v>
      </c>
    </row>
    <row r="11" spans="1:9" x14ac:dyDescent="0.2">
      <c r="A11" t="s">
        <v>174</v>
      </c>
      <c r="B11" t="s">
        <v>451</v>
      </c>
      <c r="C11" t="s">
        <v>451</v>
      </c>
      <c r="D11" t="s">
        <v>173</v>
      </c>
      <c r="E11" t="s">
        <v>1057</v>
      </c>
      <c r="F11" t="s">
        <v>598</v>
      </c>
      <c r="G11">
        <f t="shared" si="0"/>
        <v>99.926292595467487</v>
      </c>
      <c r="H11">
        <f t="shared" si="1"/>
        <v>136827.36908777678</v>
      </c>
      <c r="I11">
        <f t="shared" si="2"/>
        <v>7.297762825E-5</v>
      </c>
    </row>
    <row r="12" spans="1:9" x14ac:dyDescent="0.2">
      <c r="A12" t="s">
        <v>172</v>
      </c>
      <c r="B12" t="s">
        <v>452</v>
      </c>
      <c r="C12" t="s">
        <v>613</v>
      </c>
      <c r="D12" t="s">
        <v>171</v>
      </c>
      <c r="E12" t="s">
        <v>1058</v>
      </c>
      <c r="F12" t="s">
        <v>598</v>
      </c>
      <c r="G12">
        <f t="shared" si="0"/>
        <v>98.692653042467484</v>
      </c>
      <c r="H12">
        <f t="shared" si="1"/>
        <v>7525.8770144487398</v>
      </c>
      <c r="I12">
        <f t="shared" si="2"/>
        <v>1.2944029282500001E-3</v>
      </c>
    </row>
    <row r="13" spans="1:9" x14ac:dyDescent="0.2">
      <c r="A13" t="s">
        <v>170</v>
      </c>
      <c r="B13" t="s">
        <v>453</v>
      </c>
      <c r="C13" t="s">
        <v>614</v>
      </c>
      <c r="D13" t="s">
        <v>169</v>
      </c>
      <c r="E13" t="s">
        <v>1058</v>
      </c>
      <c r="F13" t="s">
        <v>598</v>
      </c>
      <c r="G13">
        <f t="shared" si="0"/>
        <v>91.815294685467506</v>
      </c>
      <c r="H13">
        <f t="shared" si="1"/>
        <v>1041.1937028121899</v>
      </c>
      <c r="I13">
        <f t="shared" si="2"/>
        <v>8.1036686282500003E-3</v>
      </c>
    </row>
    <row r="14" spans="1:9" x14ac:dyDescent="0.2">
      <c r="A14" t="s">
        <v>168</v>
      </c>
      <c r="B14" t="s">
        <v>454</v>
      </c>
      <c r="C14" t="s">
        <v>615</v>
      </c>
      <c r="D14" t="s">
        <v>167</v>
      </c>
      <c r="E14" t="s">
        <v>1058</v>
      </c>
      <c r="F14" t="s">
        <v>598</v>
      </c>
      <c r="G14">
        <f t="shared" si="0"/>
        <v>82.334975741467503</v>
      </c>
      <c r="H14">
        <f t="shared" si="1"/>
        <v>388.4162911791841</v>
      </c>
      <c r="I14">
        <f t="shared" si="2"/>
        <v>1.7490123028249999E-2</v>
      </c>
    </row>
    <row r="15" spans="1:9" x14ac:dyDescent="0.2">
      <c r="A15" t="s">
        <v>166</v>
      </c>
      <c r="B15" t="s">
        <v>455</v>
      </c>
      <c r="C15" t="s">
        <v>616</v>
      </c>
      <c r="D15" t="s">
        <v>165</v>
      </c>
      <c r="E15" t="s">
        <v>1058</v>
      </c>
      <c r="F15" t="s">
        <v>598</v>
      </c>
      <c r="G15">
        <f t="shared" si="0"/>
        <v>76.859616968467478</v>
      </c>
      <c r="H15">
        <f t="shared" si="1"/>
        <v>258.60679701599946</v>
      </c>
      <c r="I15">
        <f t="shared" si="2"/>
        <v>2.2911270328250001E-2</v>
      </c>
    </row>
    <row r="16" spans="1:9" x14ac:dyDescent="0.2">
      <c r="A16" t="s">
        <v>164</v>
      </c>
      <c r="B16" t="s">
        <v>452</v>
      </c>
      <c r="C16" t="s">
        <v>613</v>
      </c>
      <c r="D16" t="s">
        <v>163</v>
      </c>
      <c r="E16" t="s">
        <v>1058</v>
      </c>
      <c r="F16" t="s">
        <v>598</v>
      </c>
      <c r="G16">
        <f t="shared" si="0"/>
        <v>98.692653042467484</v>
      </c>
      <c r="H16">
        <f t="shared" si="1"/>
        <v>7525.8770144487398</v>
      </c>
      <c r="I16">
        <f t="shared" si="2"/>
        <v>1.2944029282500001E-3</v>
      </c>
    </row>
    <row r="17" spans="1:9" x14ac:dyDescent="0.2">
      <c r="A17" t="s">
        <v>162</v>
      </c>
      <c r="B17" t="s">
        <v>453</v>
      </c>
      <c r="C17" t="s">
        <v>614</v>
      </c>
      <c r="D17" t="s">
        <v>161</v>
      </c>
      <c r="E17" t="s">
        <v>1058</v>
      </c>
      <c r="F17" t="s">
        <v>598</v>
      </c>
      <c r="G17">
        <f t="shared" si="0"/>
        <v>91.815294685467506</v>
      </c>
      <c r="H17">
        <f t="shared" si="1"/>
        <v>1041.1937028121899</v>
      </c>
      <c r="I17">
        <f t="shared" si="2"/>
        <v>8.1036686282500003E-3</v>
      </c>
    </row>
    <row r="18" spans="1:9" x14ac:dyDescent="0.2">
      <c r="A18" t="s">
        <v>160</v>
      </c>
      <c r="B18" t="s">
        <v>454</v>
      </c>
      <c r="C18" t="s">
        <v>615</v>
      </c>
      <c r="D18" t="s">
        <v>159</v>
      </c>
      <c r="E18" t="s">
        <v>1058</v>
      </c>
      <c r="F18" t="s">
        <v>598</v>
      </c>
      <c r="G18">
        <f t="shared" si="0"/>
        <v>82.334975741467503</v>
      </c>
      <c r="H18">
        <f t="shared" si="1"/>
        <v>388.4162911791841</v>
      </c>
      <c r="I18">
        <f t="shared" si="2"/>
        <v>1.7490123028249999E-2</v>
      </c>
    </row>
    <row r="19" spans="1:9" x14ac:dyDescent="0.2">
      <c r="A19" t="s">
        <v>158</v>
      </c>
      <c r="B19" t="s">
        <v>455</v>
      </c>
      <c r="C19" t="s">
        <v>616</v>
      </c>
      <c r="D19" t="s">
        <v>157</v>
      </c>
      <c r="E19" t="s">
        <v>1058</v>
      </c>
      <c r="F19" t="s">
        <v>598</v>
      </c>
      <c r="G19">
        <f t="shared" si="0"/>
        <v>76.859616968467478</v>
      </c>
      <c r="H19">
        <f t="shared" si="1"/>
        <v>258.60679701599946</v>
      </c>
      <c r="I19">
        <f t="shared" si="2"/>
        <v>2.2911270328250001E-2</v>
      </c>
    </row>
    <row r="20" spans="1:9" x14ac:dyDescent="0.2">
      <c r="A20" t="s">
        <v>156</v>
      </c>
      <c r="B20" t="s">
        <v>456</v>
      </c>
      <c r="C20" t="s">
        <v>617</v>
      </c>
      <c r="D20" t="s">
        <v>155</v>
      </c>
      <c r="E20" t="s">
        <v>1058</v>
      </c>
      <c r="F20" t="s">
        <v>598</v>
      </c>
      <c r="G20">
        <f t="shared" si="0"/>
        <v>99.477414760467497</v>
      </c>
      <c r="H20">
        <f t="shared" si="1"/>
        <v>19126.513162002411</v>
      </c>
      <c r="I20">
        <f t="shared" si="2"/>
        <v>5.1741112825000009E-4</v>
      </c>
    </row>
    <row r="21" spans="1:9" x14ac:dyDescent="0.2">
      <c r="A21" t="s">
        <v>154</v>
      </c>
      <c r="B21" t="s">
        <v>457</v>
      </c>
      <c r="C21" t="s">
        <v>618</v>
      </c>
      <c r="D21" t="s">
        <v>153</v>
      </c>
      <c r="E21" t="s">
        <v>1058</v>
      </c>
      <c r="F21" t="s">
        <v>598</v>
      </c>
      <c r="G21">
        <f t="shared" si="0"/>
        <v>88.322270992467494</v>
      </c>
      <c r="H21">
        <f t="shared" si="1"/>
        <v>675.57192149009347</v>
      </c>
      <c r="I21">
        <f t="shared" si="2"/>
        <v>1.156210792825E-2</v>
      </c>
    </row>
    <row r="22" spans="1:9" x14ac:dyDescent="0.2">
      <c r="A22" t="s">
        <v>152</v>
      </c>
      <c r="B22" t="s">
        <v>458</v>
      </c>
      <c r="C22" t="s">
        <v>619</v>
      </c>
      <c r="D22" t="s">
        <v>151</v>
      </c>
      <c r="E22" t="s">
        <v>1058</v>
      </c>
      <c r="F22" t="s">
        <v>598</v>
      </c>
      <c r="G22">
        <f t="shared" si="0"/>
        <v>73.860982013467506</v>
      </c>
      <c r="H22">
        <f t="shared" si="1"/>
        <v>211.53455913516262</v>
      </c>
      <c r="I22">
        <f t="shared" si="2"/>
        <v>2.5880215828249998E-2</v>
      </c>
    </row>
    <row r="23" spans="1:9" x14ac:dyDescent="0.2">
      <c r="A23" t="s">
        <v>150</v>
      </c>
      <c r="B23" t="s">
        <v>459</v>
      </c>
      <c r="C23" t="s">
        <v>620</v>
      </c>
      <c r="D23" t="s">
        <v>149</v>
      </c>
      <c r="E23" t="s">
        <v>1058</v>
      </c>
      <c r="F23" t="s">
        <v>598</v>
      </c>
      <c r="G23">
        <f t="shared" si="0"/>
        <v>33.989594601467502</v>
      </c>
      <c r="H23">
        <f t="shared" si="1"/>
        <v>18.016585848751891</v>
      </c>
      <c r="I23">
        <f t="shared" si="2"/>
        <v>6.5356837028250001E-2</v>
      </c>
    </row>
    <row r="24" spans="1:9" x14ac:dyDescent="0.2">
      <c r="A24" t="s">
        <v>148</v>
      </c>
      <c r="B24" t="s">
        <v>460</v>
      </c>
      <c r="C24" t="s">
        <v>621</v>
      </c>
      <c r="D24" t="s">
        <v>147</v>
      </c>
      <c r="E24" t="s">
        <v>1058</v>
      </c>
      <c r="F24" t="s">
        <v>598</v>
      </c>
      <c r="G24">
        <f t="shared" si="0"/>
        <v>99.571736741467475</v>
      </c>
      <c r="H24">
        <f t="shared" si="1"/>
        <v>23383.053051919993</v>
      </c>
      <c r="I24">
        <f t="shared" si="2"/>
        <v>4.2402302825000004E-4</v>
      </c>
    </row>
    <row r="25" spans="1:9" x14ac:dyDescent="0.2">
      <c r="A25" t="s">
        <v>146</v>
      </c>
      <c r="B25" t="s">
        <v>461</v>
      </c>
      <c r="C25" t="s">
        <v>622</v>
      </c>
      <c r="D25" t="s">
        <v>145</v>
      </c>
      <c r="E25" t="s">
        <v>1058</v>
      </c>
      <c r="F25" t="s">
        <v>598</v>
      </c>
      <c r="G25">
        <f t="shared" si="0"/>
        <v>90.648626818467491</v>
      </c>
      <c r="H25">
        <f t="shared" si="1"/>
        <v>888.40665532404398</v>
      </c>
      <c r="I25">
        <f t="shared" si="2"/>
        <v>9.2587853282500004E-3</v>
      </c>
    </row>
    <row r="26" spans="1:9" x14ac:dyDescent="0.2">
      <c r="A26" t="s">
        <v>144</v>
      </c>
      <c r="B26" t="s">
        <v>462</v>
      </c>
      <c r="C26" t="s">
        <v>623</v>
      </c>
      <c r="D26" t="s">
        <v>143</v>
      </c>
      <c r="E26" t="s">
        <v>1058</v>
      </c>
      <c r="F26" t="s">
        <v>598</v>
      </c>
      <c r="G26">
        <f t="shared" si="0"/>
        <v>78.720537827467467</v>
      </c>
      <c r="H26">
        <f t="shared" si="1"/>
        <v>294.91551820204359</v>
      </c>
      <c r="I26">
        <f t="shared" si="2"/>
        <v>2.1068774428250003E-2</v>
      </c>
    </row>
    <row r="27" spans="1:9" x14ac:dyDescent="0.2">
      <c r="A27" t="s">
        <v>142</v>
      </c>
      <c r="B27" t="s">
        <v>463</v>
      </c>
      <c r="C27" t="s">
        <v>624</v>
      </c>
      <c r="D27" t="s">
        <v>141</v>
      </c>
      <c r="E27" t="s">
        <v>1058</v>
      </c>
      <c r="F27" t="s">
        <v>598</v>
      </c>
      <c r="G27">
        <f t="shared" si="0"/>
        <v>42.735974320467506</v>
      </c>
      <c r="H27">
        <f t="shared" si="1"/>
        <v>32.640029289945389</v>
      </c>
      <c r="I27">
        <f t="shared" si="2"/>
        <v>5.6697055128249997E-2</v>
      </c>
    </row>
    <row r="28" spans="1:9" x14ac:dyDescent="0.2">
      <c r="A28" t="s">
        <v>140</v>
      </c>
      <c r="B28" t="s">
        <v>464</v>
      </c>
      <c r="C28" s="5" t="s">
        <v>625</v>
      </c>
      <c r="E28" t="s">
        <v>1058</v>
      </c>
      <c r="F28" t="s">
        <v>598</v>
      </c>
      <c r="G28">
        <f t="shared" si="0"/>
        <v>99.64385791246751</v>
      </c>
      <c r="H28">
        <f t="shared" si="1"/>
        <v>28158.823763499502</v>
      </c>
      <c r="I28">
        <f t="shared" si="2"/>
        <v>3.5261592825E-4</v>
      </c>
    </row>
    <row r="29" spans="1:9" x14ac:dyDescent="0.2">
      <c r="A29" t="s">
        <v>139</v>
      </c>
      <c r="B29" t="s">
        <v>465</v>
      </c>
      <c r="C29" s="5" t="s">
        <v>626</v>
      </c>
      <c r="E29" t="s">
        <v>1058</v>
      </c>
      <c r="F29" t="s">
        <v>598</v>
      </c>
      <c r="G29">
        <f t="shared" si="0"/>
        <v>99.722382786467477</v>
      </c>
      <c r="H29">
        <f t="shared" si="1"/>
        <v>36180.306990298908</v>
      </c>
      <c r="I29">
        <f t="shared" si="2"/>
        <v>2.7486852825E-4</v>
      </c>
    </row>
    <row r="30" spans="1:9" x14ac:dyDescent="0.2">
      <c r="A30" t="s">
        <v>138</v>
      </c>
      <c r="B30" t="s">
        <v>466</v>
      </c>
      <c r="C30" s="5" t="s">
        <v>627</v>
      </c>
      <c r="E30" t="s">
        <v>1058</v>
      </c>
      <c r="F30" t="s">
        <v>598</v>
      </c>
      <c r="G30">
        <f t="shared" si="0"/>
        <v>99.3083065214675</v>
      </c>
      <c r="H30">
        <f t="shared" si="1"/>
        <v>14401.53530407351</v>
      </c>
      <c r="I30">
        <f t="shared" si="2"/>
        <v>6.8484502825E-4</v>
      </c>
    </row>
    <row r="31" spans="1:9" x14ac:dyDescent="0.2">
      <c r="A31" t="s">
        <v>137</v>
      </c>
      <c r="B31" t="s">
        <v>467</v>
      </c>
      <c r="C31" t="s">
        <v>628</v>
      </c>
      <c r="E31" t="s">
        <v>1058</v>
      </c>
      <c r="F31" t="s">
        <v>598</v>
      </c>
      <c r="G31">
        <f t="shared" si="0"/>
        <v>92.466680247467494</v>
      </c>
      <c r="H31">
        <f t="shared" si="1"/>
        <v>1147.2437013349218</v>
      </c>
      <c r="I31">
        <f t="shared" si="2"/>
        <v>7.4587324282500006E-3</v>
      </c>
    </row>
    <row r="32" spans="1:9" x14ac:dyDescent="0.2">
      <c r="A32" t="s">
        <v>136</v>
      </c>
      <c r="B32" t="s">
        <v>468</v>
      </c>
      <c r="C32" t="s">
        <v>629</v>
      </c>
      <c r="E32" t="s">
        <v>1058</v>
      </c>
      <c r="F32" t="s">
        <v>598</v>
      </c>
      <c r="G32">
        <f t="shared" si="0"/>
        <v>94.485599244467494</v>
      </c>
      <c r="H32">
        <f t="shared" si="1"/>
        <v>1636.0824074635775</v>
      </c>
      <c r="I32">
        <f t="shared" si="2"/>
        <v>5.4598027282500008E-3</v>
      </c>
    </row>
    <row r="33" spans="1:9" x14ac:dyDescent="0.2">
      <c r="A33" t="s">
        <v>135</v>
      </c>
      <c r="B33" t="s">
        <v>469</v>
      </c>
      <c r="C33" t="s">
        <v>630</v>
      </c>
      <c r="E33" t="s">
        <v>1058</v>
      </c>
      <c r="F33" t="s">
        <v>598</v>
      </c>
      <c r="G33">
        <f t="shared" si="0"/>
        <v>95.790722052467473</v>
      </c>
      <c r="H33">
        <f t="shared" si="1"/>
        <v>2202.670688168891</v>
      </c>
      <c r="I33">
        <f t="shared" si="2"/>
        <v>4.1676019282500002E-3</v>
      </c>
    </row>
    <row r="34" spans="1:9" x14ac:dyDescent="0.2">
      <c r="A34" t="s">
        <v>134</v>
      </c>
      <c r="B34" t="s">
        <v>470</v>
      </c>
      <c r="C34" t="s">
        <v>631</v>
      </c>
      <c r="E34" t="s">
        <v>1058</v>
      </c>
      <c r="F34" t="s">
        <v>598</v>
      </c>
      <c r="G34">
        <f t="shared" si="0"/>
        <v>82.6445486194675</v>
      </c>
      <c r="H34">
        <f t="shared" si="1"/>
        <v>398.30516726802057</v>
      </c>
      <c r="I34">
        <f t="shared" si="2"/>
        <v>1.7183615228249998E-2</v>
      </c>
    </row>
    <row r="35" spans="1:9" x14ac:dyDescent="0.2">
      <c r="A35" t="s">
        <v>133</v>
      </c>
      <c r="B35" t="s">
        <v>471</v>
      </c>
      <c r="C35" t="s">
        <v>632</v>
      </c>
      <c r="E35" t="s">
        <v>1058</v>
      </c>
      <c r="F35" t="s">
        <v>598</v>
      </c>
      <c r="G35">
        <f t="shared" si="0"/>
        <v>87.133196578467491</v>
      </c>
      <c r="H35">
        <f t="shared" si="1"/>
        <v>596.83255358584472</v>
      </c>
      <c r="I35">
        <f t="shared" si="2"/>
        <v>1.2739409328250002E-2</v>
      </c>
    </row>
    <row r="36" spans="1:9" x14ac:dyDescent="0.2">
      <c r="A36" t="s">
        <v>132</v>
      </c>
      <c r="B36" t="s">
        <v>472</v>
      </c>
      <c r="C36" t="s">
        <v>633</v>
      </c>
      <c r="E36" t="s">
        <v>1058</v>
      </c>
      <c r="F36" t="s">
        <v>598</v>
      </c>
      <c r="G36">
        <f t="shared" si="0"/>
        <v>90.720535889467499</v>
      </c>
      <c r="H36">
        <f t="shared" si="1"/>
        <v>896.70438603422042</v>
      </c>
      <c r="I36">
        <f t="shared" si="2"/>
        <v>9.1875882282500005E-3</v>
      </c>
    </row>
    <row r="37" spans="1:9" x14ac:dyDescent="0.2">
      <c r="A37" t="s">
        <v>131</v>
      </c>
      <c r="B37" t="s">
        <v>473</v>
      </c>
      <c r="C37" t="s">
        <v>624</v>
      </c>
      <c r="E37" t="s">
        <v>1058</v>
      </c>
      <c r="F37" t="s">
        <v>598</v>
      </c>
      <c r="G37">
        <f t="shared" si="0"/>
        <v>42.735974320467506</v>
      </c>
      <c r="H37">
        <f t="shared" si="1"/>
        <v>32.640029289945389</v>
      </c>
      <c r="I37">
        <f t="shared" si="2"/>
        <v>5.6697055128249997E-2</v>
      </c>
    </row>
    <row r="38" spans="1:9" x14ac:dyDescent="0.2">
      <c r="A38" t="s">
        <v>130</v>
      </c>
      <c r="B38" t="s">
        <v>473</v>
      </c>
      <c r="C38" t="s">
        <v>624</v>
      </c>
      <c r="E38" t="s">
        <v>1058</v>
      </c>
      <c r="F38" t="s">
        <v>598</v>
      </c>
      <c r="G38">
        <f t="shared" si="0"/>
        <v>42.735974320467506</v>
      </c>
      <c r="H38">
        <f t="shared" si="1"/>
        <v>32.640029289945389</v>
      </c>
      <c r="I38">
        <f t="shared" si="2"/>
        <v>5.6697055128249997E-2</v>
      </c>
    </row>
    <row r="39" spans="1:9" x14ac:dyDescent="0.2">
      <c r="A39" t="s">
        <v>129</v>
      </c>
      <c r="B39" t="s">
        <v>473</v>
      </c>
      <c r="C39" t="s">
        <v>624</v>
      </c>
      <c r="E39" t="s">
        <v>1058</v>
      </c>
      <c r="F39" t="s">
        <v>598</v>
      </c>
      <c r="G39">
        <f t="shared" si="0"/>
        <v>42.735974320467506</v>
      </c>
      <c r="H39">
        <f t="shared" si="1"/>
        <v>32.640029289945389</v>
      </c>
      <c r="I39">
        <f t="shared" si="2"/>
        <v>5.6697055128249997E-2</v>
      </c>
    </row>
  </sheetData>
  <autoFilter ref="A1:I39" xr:uid="{75B80FF8-A885-934B-A8F4-C05EC02324E0}"/>
  <pageMargins left="0.7" right="0.7" top="0.75" bottom="0.75" header="0.3" footer="0.3"/>
  <pageSetup orientation="portrait" horizontalDpi="0" verticalDpi="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9DCC5-04BF-1E47-BBAB-979AFBADBF21}">
  <dimension ref="A1:I39"/>
  <sheetViews>
    <sheetView topLeftCell="A5" zoomScale="133" workbookViewId="0">
      <selection sqref="A1:D39"/>
    </sheetView>
  </sheetViews>
  <sheetFormatPr baseColWidth="10" defaultRowHeight="16" x14ac:dyDescent="0.2"/>
  <cols>
    <col min="2" max="2" width="26.1640625" customWidth="1"/>
    <col min="3" max="3" width="13.83203125" customWidth="1"/>
    <col min="4" max="4" width="42" customWidth="1"/>
    <col min="5" max="5" width="19.83203125" customWidth="1"/>
    <col min="7" max="7" width="15.6640625" customWidth="1"/>
    <col min="8" max="8" width="15" customWidth="1"/>
  </cols>
  <sheetData>
    <row r="1" spans="1:9" x14ac:dyDescent="0.2">
      <c r="A1" t="s">
        <v>603</v>
      </c>
      <c r="B1" t="s">
        <v>609</v>
      </c>
      <c r="C1" t="s">
        <v>1055</v>
      </c>
      <c r="D1" t="s">
        <v>557</v>
      </c>
      <c r="E1" t="s">
        <v>1056</v>
      </c>
      <c r="F1" s="2" t="s">
        <v>599</v>
      </c>
      <c r="G1" t="s">
        <v>605</v>
      </c>
      <c r="H1" t="s">
        <v>606</v>
      </c>
      <c r="I1" t="s">
        <v>1060</v>
      </c>
    </row>
    <row r="2" spans="1:9" x14ac:dyDescent="0.2">
      <c r="A2" s="2" t="s">
        <v>395</v>
      </c>
      <c r="B2" t="s">
        <v>497</v>
      </c>
      <c r="C2" t="s">
        <v>497</v>
      </c>
      <c r="D2" t="s">
        <v>191</v>
      </c>
      <c r="E2" t="s">
        <v>1058</v>
      </c>
      <c r="F2" t="s">
        <v>598</v>
      </c>
      <c r="G2">
        <f>C2*(((C2*(1-C2))/(I2^2))-1)</f>
        <v>99.872820396000009</v>
      </c>
      <c r="H2">
        <f>(1 - C2) * ( ((C2 * (1 - C2)) / (I2^2)) - 1 )</f>
        <v>79214.376813499694</v>
      </c>
      <c r="I2">
        <f>(C2*0.1)</f>
        <v>1.2592040000000001E-4</v>
      </c>
    </row>
    <row r="3" spans="1:9" x14ac:dyDescent="0.2">
      <c r="A3" t="s">
        <v>396</v>
      </c>
      <c r="B3" t="s">
        <v>497</v>
      </c>
      <c r="C3" t="s">
        <v>497</v>
      </c>
      <c r="D3" t="s">
        <v>189</v>
      </c>
      <c r="E3" t="s">
        <v>1057</v>
      </c>
      <c r="F3" t="s">
        <v>598</v>
      </c>
      <c r="G3">
        <f t="shared" ref="G3:G39" si="0">C3*(((C3*(1-C3))/(I3^2))-1)</f>
        <v>99.872820396000009</v>
      </c>
      <c r="H3">
        <f t="shared" ref="H3:H39" si="1">(1 - C3) * ( ((C3 * (1 - C3)) / (I3^2)) - 1 )</f>
        <v>79214.376813499694</v>
      </c>
      <c r="I3">
        <f t="shared" ref="I3:I39" si="2">(C3*0.1)</f>
        <v>1.2592040000000001E-4</v>
      </c>
    </row>
    <row r="4" spans="1:9" x14ac:dyDescent="0.2">
      <c r="A4" t="s">
        <v>397</v>
      </c>
      <c r="B4" t="s">
        <v>497</v>
      </c>
      <c r="C4" t="s">
        <v>497</v>
      </c>
      <c r="D4" t="s">
        <v>187</v>
      </c>
      <c r="E4" t="s">
        <v>1058</v>
      </c>
      <c r="F4" t="s">
        <v>598</v>
      </c>
      <c r="G4">
        <f t="shared" si="0"/>
        <v>99.872820396000009</v>
      </c>
      <c r="H4">
        <f t="shared" si="1"/>
        <v>79214.376813499694</v>
      </c>
      <c r="I4">
        <f t="shared" si="2"/>
        <v>1.2592040000000001E-4</v>
      </c>
    </row>
    <row r="5" spans="1:9" x14ac:dyDescent="0.2">
      <c r="A5" t="s">
        <v>398</v>
      </c>
      <c r="B5" t="s">
        <v>497</v>
      </c>
      <c r="C5" t="s">
        <v>497</v>
      </c>
      <c r="D5" t="s">
        <v>185</v>
      </c>
      <c r="E5" t="s">
        <v>1057</v>
      </c>
      <c r="F5" t="s">
        <v>598</v>
      </c>
      <c r="G5">
        <f t="shared" si="0"/>
        <v>99.872820396000009</v>
      </c>
      <c r="H5">
        <f t="shared" si="1"/>
        <v>79214.376813499694</v>
      </c>
      <c r="I5">
        <f t="shared" si="2"/>
        <v>1.2592040000000001E-4</v>
      </c>
    </row>
    <row r="6" spans="1:9" x14ac:dyDescent="0.2">
      <c r="A6" t="s">
        <v>399</v>
      </c>
      <c r="B6" t="s">
        <v>497</v>
      </c>
      <c r="C6" t="s">
        <v>497</v>
      </c>
      <c r="D6" t="s">
        <v>183</v>
      </c>
      <c r="E6" t="s">
        <v>1058</v>
      </c>
      <c r="F6" t="s">
        <v>598</v>
      </c>
      <c r="G6">
        <f t="shared" si="0"/>
        <v>99.872820396000009</v>
      </c>
      <c r="H6">
        <f t="shared" si="1"/>
        <v>79214.376813499694</v>
      </c>
      <c r="I6">
        <f t="shared" si="2"/>
        <v>1.2592040000000001E-4</v>
      </c>
    </row>
    <row r="7" spans="1:9" x14ac:dyDescent="0.2">
      <c r="A7" t="s">
        <v>400</v>
      </c>
      <c r="B7" t="s">
        <v>497</v>
      </c>
      <c r="C7" t="s">
        <v>497</v>
      </c>
      <c r="D7" t="s">
        <v>181</v>
      </c>
      <c r="E7" t="s">
        <v>1057</v>
      </c>
      <c r="F7" t="s">
        <v>598</v>
      </c>
      <c r="G7">
        <f t="shared" si="0"/>
        <v>99.872820396000009</v>
      </c>
      <c r="H7">
        <f t="shared" si="1"/>
        <v>79214.376813499694</v>
      </c>
      <c r="I7">
        <f t="shared" si="2"/>
        <v>1.2592040000000001E-4</v>
      </c>
    </row>
    <row r="8" spans="1:9" x14ac:dyDescent="0.2">
      <c r="A8" t="s">
        <v>401</v>
      </c>
      <c r="B8" t="s">
        <v>497</v>
      </c>
      <c r="C8" t="s">
        <v>497</v>
      </c>
      <c r="D8" t="s">
        <v>179</v>
      </c>
      <c r="E8" t="s">
        <v>1058</v>
      </c>
      <c r="F8" t="s">
        <v>598</v>
      </c>
      <c r="G8">
        <f t="shared" si="0"/>
        <v>99.872820396000009</v>
      </c>
      <c r="H8">
        <f t="shared" si="1"/>
        <v>79214.376813499694</v>
      </c>
      <c r="I8">
        <f t="shared" si="2"/>
        <v>1.2592040000000001E-4</v>
      </c>
    </row>
    <row r="9" spans="1:9" x14ac:dyDescent="0.2">
      <c r="A9" t="s">
        <v>402</v>
      </c>
      <c r="B9" t="s">
        <v>497</v>
      </c>
      <c r="C9" t="s">
        <v>497</v>
      </c>
      <c r="D9" t="s">
        <v>177</v>
      </c>
      <c r="E9" t="s">
        <v>1057</v>
      </c>
      <c r="F9" t="s">
        <v>598</v>
      </c>
      <c r="G9">
        <f t="shared" si="0"/>
        <v>99.872820396000009</v>
      </c>
      <c r="H9">
        <f t="shared" si="1"/>
        <v>79214.376813499694</v>
      </c>
      <c r="I9">
        <f t="shared" si="2"/>
        <v>1.2592040000000001E-4</v>
      </c>
    </row>
    <row r="10" spans="1:9" x14ac:dyDescent="0.2">
      <c r="A10" t="s">
        <v>403</v>
      </c>
      <c r="B10" t="s">
        <v>497</v>
      </c>
      <c r="C10" t="s">
        <v>497</v>
      </c>
      <c r="D10" t="s">
        <v>175</v>
      </c>
      <c r="E10" t="s">
        <v>1058</v>
      </c>
      <c r="F10" t="s">
        <v>598</v>
      </c>
      <c r="G10">
        <f t="shared" si="0"/>
        <v>99.872820396000009</v>
      </c>
      <c r="H10">
        <f t="shared" si="1"/>
        <v>79214.376813499694</v>
      </c>
      <c r="I10">
        <f t="shared" si="2"/>
        <v>1.2592040000000001E-4</v>
      </c>
    </row>
    <row r="11" spans="1:9" x14ac:dyDescent="0.2">
      <c r="A11" t="s">
        <v>404</v>
      </c>
      <c r="B11" t="s">
        <v>497</v>
      </c>
      <c r="C11" t="s">
        <v>497</v>
      </c>
      <c r="D11" t="s">
        <v>173</v>
      </c>
      <c r="E11" t="s">
        <v>1057</v>
      </c>
      <c r="F11" t="s">
        <v>598</v>
      </c>
      <c r="G11">
        <f t="shared" si="0"/>
        <v>99.872820396000009</v>
      </c>
      <c r="H11">
        <f t="shared" si="1"/>
        <v>79214.376813499694</v>
      </c>
      <c r="I11">
        <f t="shared" si="2"/>
        <v>1.2592040000000001E-4</v>
      </c>
    </row>
    <row r="12" spans="1:9" x14ac:dyDescent="0.2">
      <c r="A12" t="s">
        <v>405</v>
      </c>
      <c r="B12" t="s">
        <v>498</v>
      </c>
      <c r="C12" t="s">
        <v>655</v>
      </c>
      <c r="D12" t="s">
        <v>171</v>
      </c>
      <c r="E12" t="s">
        <v>1057</v>
      </c>
      <c r="F12" t="s">
        <v>598</v>
      </c>
      <c r="G12">
        <f t="shared" si="0"/>
        <v>99.601496521000001</v>
      </c>
      <c r="H12">
        <f t="shared" si="1"/>
        <v>25144.221151815273</v>
      </c>
      <c r="I12">
        <f t="shared" si="2"/>
        <v>3.9455790000000006E-4</v>
      </c>
    </row>
    <row r="13" spans="1:9" x14ac:dyDescent="0.2">
      <c r="A13" t="s">
        <v>406</v>
      </c>
      <c r="B13" t="s">
        <v>499</v>
      </c>
      <c r="C13" t="s">
        <v>656</v>
      </c>
      <c r="D13" t="s">
        <v>169</v>
      </c>
      <c r="E13" t="s">
        <v>1057</v>
      </c>
      <c r="F13" t="s">
        <v>598</v>
      </c>
      <c r="G13">
        <f t="shared" si="0"/>
        <v>92.696344680999999</v>
      </c>
      <c r="H13">
        <f t="shared" si="1"/>
        <v>1189.1728569536233</v>
      </c>
      <c r="I13">
        <f t="shared" si="2"/>
        <v>7.2313419000000004E-3</v>
      </c>
    </row>
    <row r="14" spans="1:9" x14ac:dyDescent="0.2">
      <c r="A14" t="s">
        <v>407</v>
      </c>
      <c r="B14" t="s">
        <v>500</v>
      </c>
      <c r="C14" t="s">
        <v>657</v>
      </c>
      <c r="D14" t="s">
        <v>167</v>
      </c>
      <c r="E14" t="s">
        <v>1057</v>
      </c>
      <c r="F14" t="s">
        <v>598</v>
      </c>
      <c r="G14">
        <f t="shared" si="0"/>
        <v>83.212227329000001</v>
      </c>
      <c r="H14">
        <f t="shared" si="1"/>
        <v>417.41612432525028</v>
      </c>
      <c r="I14">
        <f t="shared" si="2"/>
        <v>1.66215571E-2</v>
      </c>
    </row>
    <row r="15" spans="1:9" x14ac:dyDescent="0.2">
      <c r="A15" t="s">
        <v>408</v>
      </c>
      <c r="B15" t="s">
        <v>501</v>
      </c>
      <c r="C15" t="s">
        <v>658</v>
      </c>
      <c r="D15" t="s">
        <v>165</v>
      </c>
      <c r="E15" t="s">
        <v>1058</v>
      </c>
      <c r="F15" t="s">
        <v>598</v>
      </c>
      <c r="G15">
        <f t="shared" si="0"/>
        <v>52.18674442999999</v>
      </c>
      <c r="H15">
        <f t="shared" si="1"/>
        <v>58.051747481794301</v>
      </c>
      <c r="I15">
        <f t="shared" si="2"/>
        <v>4.7339857000000006E-2</v>
      </c>
    </row>
    <row r="16" spans="1:9" x14ac:dyDescent="0.2">
      <c r="A16" t="s">
        <v>409</v>
      </c>
      <c r="B16" t="s">
        <v>498</v>
      </c>
      <c r="C16" t="s">
        <v>655</v>
      </c>
      <c r="D16" t="s">
        <v>163</v>
      </c>
      <c r="E16" t="s">
        <v>1058</v>
      </c>
      <c r="F16" t="s">
        <v>598</v>
      </c>
      <c r="G16">
        <f t="shared" si="0"/>
        <v>99.601496521000001</v>
      </c>
      <c r="H16">
        <f t="shared" si="1"/>
        <v>25144.221151815273</v>
      </c>
      <c r="I16">
        <f t="shared" si="2"/>
        <v>3.9455790000000006E-4</v>
      </c>
    </row>
    <row r="17" spans="1:9" x14ac:dyDescent="0.2">
      <c r="A17" t="s">
        <v>410</v>
      </c>
      <c r="B17" t="s">
        <v>499</v>
      </c>
      <c r="C17" t="s">
        <v>656</v>
      </c>
      <c r="D17" t="s">
        <v>161</v>
      </c>
      <c r="E17" t="s">
        <v>1058</v>
      </c>
      <c r="F17" t="s">
        <v>598</v>
      </c>
      <c r="G17">
        <f t="shared" si="0"/>
        <v>92.696344680999999</v>
      </c>
      <c r="H17">
        <f t="shared" si="1"/>
        <v>1189.1728569536233</v>
      </c>
      <c r="I17">
        <f t="shared" si="2"/>
        <v>7.2313419000000004E-3</v>
      </c>
    </row>
    <row r="18" spans="1:9" x14ac:dyDescent="0.2">
      <c r="A18" t="s">
        <v>411</v>
      </c>
      <c r="B18" t="s">
        <v>500</v>
      </c>
      <c r="C18" t="s">
        <v>657</v>
      </c>
      <c r="D18" t="s">
        <v>159</v>
      </c>
      <c r="E18" t="s">
        <v>1058</v>
      </c>
      <c r="F18" t="s">
        <v>598</v>
      </c>
      <c r="G18">
        <f t="shared" si="0"/>
        <v>83.212227329000001</v>
      </c>
      <c r="H18">
        <f t="shared" si="1"/>
        <v>417.41612432525028</v>
      </c>
      <c r="I18">
        <f t="shared" si="2"/>
        <v>1.66215571E-2</v>
      </c>
    </row>
    <row r="19" spans="1:9" x14ac:dyDescent="0.2">
      <c r="A19" t="s">
        <v>412</v>
      </c>
      <c r="B19" t="s">
        <v>501</v>
      </c>
      <c r="C19" t="s">
        <v>658</v>
      </c>
      <c r="D19" t="s">
        <v>157</v>
      </c>
      <c r="E19" t="s">
        <v>1058</v>
      </c>
      <c r="F19" t="s">
        <v>598</v>
      </c>
      <c r="G19">
        <f t="shared" si="0"/>
        <v>52.18674442999999</v>
      </c>
      <c r="H19">
        <f t="shared" si="1"/>
        <v>58.051747481794301</v>
      </c>
      <c r="I19">
        <f t="shared" si="2"/>
        <v>4.7339857000000006E-2</v>
      </c>
    </row>
    <row r="20" spans="1:9" x14ac:dyDescent="0.2">
      <c r="A20" t="s">
        <v>413</v>
      </c>
      <c r="B20" t="s">
        <v>502</v>
      </c>
      <c r="C20" t="s">
        <v>659</v>
      </c>
      <c r="D20" t="s">
        <v>155</v>
      </c>
      <c r="E20" t="s">
        <v>1058</v>
      </c>
      <c r="F20" t="s">
        <v>598</v>
      </c>
      <c r="G20">
        <f t="shared" si="0"/>
        <v>99.42394256099999</v>
      </c>
      <c r="H20">
        <f t="shared" si="1"/>
        <v>17332.549882988365</v>
      </c>
      <c r="I20">
        <f t="shared" si="2"/>
        <v>5.7035389999999999E-4</v>
      </c>
    </row>
    <row r="21" spans="1:9" x14ac:dyDescent="0.2">
      <c r="A21" t="s">
        <v>414</v>
      </c>
      <c r="B21" t="s">
        <v>503</v>
      </c>
      <c r="C21" t="s">
        <v>660</v>
      </c>
      <c r="D21" t="s">
        <v>153</v>
      </c>
      <c r="E21" t="s">
        <v>1058</v>
      </c>
      <c r="F21" t="s">
        <v>598</v>
      </c>
      <c r="G21">
        <f t="shared" si="0"/>
        <v>88.268798793000016</v>
      </c>
      <c r="H21">
        <f t="shared" si="1"/>
        <v>671.68310389649935</v>
      </c>
      <c r="I21">
        <f t="shared" si="2"/>
        <v>1.1615050700000001E-2</v>
      </c>
    </row>
    <row r="22" spans="1:9" x14ac:dyDescent="0.2">
      <c r="A22" t="s">
        <v>415</v>
      </c>
      <c r="B22" t="s">
        <v>504</v>
      </c>
      <c r="C22" t="s">
        <v>661</v>
      </c>
      <c r="D22" t="s">
        <v>151</v>
      </c>
      <c r="E22" t="s">
        <v>1058</v>
      </c>
      <c r="F22" t="s">
        <v>598</v>
      </c>
      <c r="G22">
        <f t="shared" si="0"/>
        <v>73.807509813999971</v>
      </c>
      <c r="H22">
        <f t="shared" si="1"/>
        <v>210.79920143327544</v>
      </c>
      <c r="I22">
        <f t="shared" si="2"/>
        <v>2.5933158600000002E-2</v>
      </c>
    </row>
    <row r="23" spans="1:9" x14ac:dyDescent="0.2">
      <c r="A23" t="s">
        <v>416</v>
      </c>
      <c r="B23" t="s">
        <v>505</v>
      </c>
      <c r="C23" t="s">
        <v>662</v>
      </c>
      <c r="D23" t="s">
        <v>149</v>
      </c>
      <c r="E23" t="s">
        <v>1058</v>
      </c>
      <c r="F23" t="s">
        <v>598</v>
      </c>
      <c r="G23">
        <f t="shared" si="0"/>
        <v>33.936122402000002</v>
      </c>
      <c r="H23">
        <f t="shared" si="1"/>
        <v>17.9462146212474</v>
      </c>
      <c r="I23">
        <f t="shared" si="2"/>
        <v>6.5409779799999998E-2</v>
      </c>
    </row>
    <row r="24" spans="1:9" x14ac:dyDescent="0.2">
      <c r="A24" t="s">
        <v>417</v>
      </c>
      <c r="B24" t="s">
        <v>506</v>
      </c>
      <c r="C24" t="s">
        <v>663</v>
      </c>
      <c r="D24" t="s">
        <v>147</v>
      </c>
      <c r="E24" t="s">
        <v>1058</v>
      </c>
      <c r="F24" t="s">
        <v>598</v>
      </c>
      <c r="G24">
        <f t="shared" si="0"/>
        <v>99.518264541999997</v>
      </c>
      <c r="H24">
        <f t="shared" si="1"/>
        <v>20765.345535336313</v>
      </c>
      <c r="I24">
        <f t="shared" si="2"/>
        <v>4.7696580000000004E-4</v>
      </c>
    </row>
    <row r="25" spans="1:9" x14ac:dyDescent="0.2">
      <c r="A25" t="s">
        <v>418</v>
      </c>
      <c r="B25" t="s">
        <v>507</v>
      </c>
      <c r="C25" t="s">
        <v>664</v>
      </c>
      <c r="D25" t="s">
        <v>145</v>
      </c>
      <c r="E25" t="s">
        <v>1058</v>
      </c>
      <c r="F25" t="s">
        <v>598</v>
      </c>
      <c r="G25">
        <f t="shared" si="0"/>
        <v>90.595154618999999</v>
      </c>
      <c r="H25">
        <f t="shared" si="1"/>
        <v>882.31936399758206</v>
      </c>
      <c r="I25">
        <f t="shared" si="2"/>
        <v>9.3117280999999996E-3</v>
      </c>
    </row>
    <row r="26" spans="1:9" x14ac:dyDescent="0.2">
      <c r="A26" t="s">
        <v>419</v>
      </c>
      <c r="B26" t="s">
        <v>508</v>
      </c>
      <c r="C26" t="s">
        <v>665</v>
      </c>
      <c r="D26" t="s">
        <v>143</v>
      </c>
      <c r="E26" t="s">
        <v>1058</v>
      </c>
      <c r="F26" t="s">
        <v>598</v>
      </c>
      <c r="G26">
        <f t="shared" si="0"/>
        <v>78.667065627999989</v>
      </c>
      <c r="H26">
        <f t="shared" si="1"/>
        <v>293.77928844021937</v>
      </c>
      <c r="I26">
        <f t="shared" si="2"/>
        <v>2.1121717200000001E-2</v>
      </c>
    </row>
    <row r="27" spans="1:9" x14ac:dyDescent="0.2">
      <c r="A27" t="s">
        <v>420</v>
      </c>
      <c r="B27" t="s">
        <v>509</v>
      </c>
      <c r="C27" t="s">
        <v>666</v>
      </c>
      <c r="D27" t="s">
        <v>141</v>
      </c>
      <c r="E27" t="s">
        <v>1058</v>
      </c>
      <c r="F27" t="s">
        <v>598</v>
      </c>
      <c r="G27">
        <f t="shared" si="0"/>
        <v>42.682502120999992</v>
      </c>
      <c r="H27">
        <f t="shared" si="1"/>
        <v>32.528958144093671</v>
      </c>
      <c r="I27">
        <f t="shared" si="2"/>
        <v>5.6749997900000008E-2</v>
      </c>
    </row>
    <row r="28" spans="1:9" x14ac:dyDescent="0.2">
      <c r="A28" t="s">
        <v>421</v>
      </c>
      <c r="B28" t="s">
        <v>510</v>
      </c>
      <c r="C28" t="s">
        <v>667</v>
      </c>
      <c r="E28" t="s">
        <v>1058</v>
      </c>
      <c r="F28" t="s">
        <v>598</v>
      </c>
      <c r="G28">
        <f t="shared" si="0"/>
        <v>99.590385712999989</v>
      </c>
      <c r="H28">
        <f t="shared" si="1"/>
        <v>24456.752682010607</v>
      </c>
      <c r="I28">
        <f t="shared" si="2"/>
        <v>4.0555870000000006E-4</v>
      </c>
    </row>
    <row r="29" spans="1:9" x14ac:dyDescent="0.2">
      <c r="A29" t="s">
        <v>422</v>
      </c>
      <c r="B29" t="s">
        <v>511</v>
      </c>
      <c r="C29" t="s">
        <v>668</v>
      </c>
      <c r="E29" t="s">
        <v>1058</v>
      </c>
      <c r="F29" t="s">
        <v>598</v>
      </c>
      <c r="G29">
        <f t="shared" si="0"/>
        <v>99.668910586999999</v>
      </c>
      <c r="H29">
        <f t="shared" si="1"/>
        <v>30304.68584686035</v>
      </c>
      <c r="I29">
        <f t="shared" si="2"/>
        <v>3.278113E-4</v>
      </c>
    </row>
    <row r="30" spans="1:9" x14ac:dyDescent="0.2">
      <c r="A30" t="s">
        <v>423</v>
      </c>
      <c r="B30" t="s">
        <v>512</v>
      </c>
      <c r="C30" t="s">
        <v>669</v>
      </c>
      <c r="E30" t="s">
        <v>1058</v>
      </c>
      <c r="F30" t="s">
        <v>598</v>
      </c>
      <c r="G30">
        <f t="shared" si="0"/>
        <v>99.254834321999994</v>
      </c>
      <c r="H30">
        <f t="shared" si="1"/>
        <v>13353.777910594627</v>
      </c>
      <c r="I30">
        <f t="shared" si="2"/>
        <v>7.377878E-4</v>
      </c>
    </row>
    <row r="31" spans="1:9" x14ac:dyDescent="0.2">
      <c r="A31" t="s">
        <v>424</v>
      </c>
      <c r="B31" t="s">
        <v>513</v>
      </c>
      <c r="C31" t="s">
        <v>670</v>
      </c>
      <c r="E31" t="s">
        <v>1058</v>
      </c>
      <c r="F31" t="s">
        <v>598</v>
      </c>
      <c r="G31">
        <f t="shared" si="0"/>
        <v>92.413208048000001</v>
      </c>
      <c r="H31">
        <f t="shared" si="1"/>
        <v>1137.8477602111175</v>
      </c>
      <c r="I31">
        <f t="shared" si="2"/>
        <v>7.5116751999999998E-3</v>
      </c>
    </row>
    <row r="32" spans="1:9" x14ac:dyDescent="0.2">
      <c r="A32" t="s">
        <v>425</v>
      </c>
      <c r="B32" t="s">
        <v>514</v>
      </c>
      <c r="C32" t="s">
        <v>671</v>
      </c>
      <c r="E32" t="s">
        <v>1058</v>
      </c>
      <c r="F32" t="s">
        <v>598</v>
      </c>
      <c r="G32">
        <f t="shared" si="0"/>
        <v>94.432127045000001</v>
      </c>
      <c r="H32">
        <f t="shared" si="1"/>
        <v>1618.5460440858822</v>
      </c>
      <c r="I32">
        <f t="shared" si="2"/>
        <v>5.5127455000000001E-3</v>
      </c>
    </row>
    <row r="33" spans="1:9" x14ac:dyDescent="0.2">
      <c r="A33" t="s">
        <v>426</v>
      </c>
      <c r="B33" t="s">
        <v>515</v>
      </c>
      <c r="C33" t="s">
        <v>672</v>
      </c>
      <c r="E33" t="s">
        <v>1058</v>
      </c>
      <c r="F33" t="s">
        <v>598</v>
      </c>
      <c r="G33">
        <f t="shared" si="0"/>
        <v>95.737249852999994</v>
      </c>
      <c r="H33">
        <f t="shared" si="1"/>
        <v>2172.6251691731509</v>
      </c>
      <c r="I33">
        <f t="shared" si="2"/>
        <v>4.2205447000000004E-3</v>
      </c>
    </row>
    <row r="34" spans="1:9" x14ac:dyDescent="0.2">
      <c r="A34" t="s">
        <v>427</v>
      </c>
      <c r="B34" t="s">
        <v>516</v>
      </c>
      <c r="C34" t="s">
        <v>673</v>
      </c>
      <c r="E34" t="s">
        <v>1058</v>
      </c>
      <c r="F34" t="s">
        <v>598</v>
      </c>
      <c r="G34">
        <f t="shared" si="0"/>
        <v>82.591076419999993</v>
      </c>
      <c r="H34">
        <f t="shared" si="1"/>
        <v>396.57115782653574</v>
      </c>
      <c r="I34">
        <f t="shared" si="2"/>
        <v>1.7236557999999999E-2</v>
      </c>
    </row>
    <row r="35" spans="1:9" x14ac:dyDescent="0.2">
      <c r="A35" t="s">
        <v>428</v>
      </c>
      <c r="B35" t="s">
        <v>517</v>
      </c>
      <c r="C35" t="s">
        <v>674</v>
      </c>
      <c r="E35" t="s">
        <v>1058</v>
      </c>
      <c r="F35" t="s">
        <v>598</v>
      </c>
      <c r="G35">
        <f t="shared" si="0"/>
        <v>87.079724378999998</v>
      </c>
      <c r="H35">
        <f t="shared" si="1"/>
        <v>593.63734546306591</v>
      </c>
      <c r="I35">
        <f t="shared" si="2"/>
        <v>1.2792352100000001E-2</v>
      </c>
    </row>
    <row r="36" spans="1:9" x14ac:dyDescent="0.2">
      <c r="A36" t="s">
        <v>429</v>
      </c>
      <c r="B36" t="s">
        <v>518</v>
      </c>
      <c r="C36" t="s">
        <v>675</v>
      </c>
      <c r="E36" t="s">
        <v>1058</v>
      </c>
      <c r="F36" t="s">
        <v>598</v>
      </c>
      <c r="G36">
        <f t="shared" si="0"/>
        <v>90.667063689999978</v>
      </c>
      <c r="H36">
        <f t="shared" si="1"/>
        <v>890.52182783582225</v>
      </c>
      <c r="I36">
        <f t="shared" si="2"/>
        <v>9.2405310000000015E-3</v>
      </c>
    </row>
    <row r="37" spans="1:9" x14ac:dyDescent="0.2">
      <c r="A37" t="s">
        <v>430</v>
      </c>
      <c r="B37" t="s">
        <v>519</v>
      </c>
      <c r="C37" t="s">
        <v>666</v>
      </c>
      <c r="E37" t="s">
        <v>1058</v>
      </c>
      <c r="F37" t="s">
        <v>598</v>
      </c>
      <c r="G37">
        <f t="shared" si="0"/>
        <v>42.682502120999992</v>
      </c>
      <c r="H37">
        <f t="shared" si="1"/>
        <v>32.528958144093671</v>
      </c>
      <c r="I37">
        <f t="shared" si="2"/>
        <v>5.6749997900000008E-2</v>
      </c>
    </row>
    <row r="38" spans="1:9" x14ac:dyDescent="0.2">
      <c r="A38" t="s">
        <v>431</v>
      </c>
      <c r="B38" t="s">
        <v>519</v>
      </c>
      <c r="C38" t="s">
        <v>666</v>
      </c>
      <c r="E38" t="s">
        <v>1058</v>
      </c>
      <c r="F38" t="s">
        <v>598</v>
      </c>
      <c r="G38">
        <f t="shared" si="0"/>
        <v>42.682502120999992</v>
      </c>
      <c r="H38">
        <f t="shared" si="1"/>
        <v>32.528958144093671</v>
      </c>
      <c r="I38">
        <f t="shared" si="2"/>
        <v>5.6749997900000008E-2</v>
      </c>
    </row>
    <row r="39" spans="1:9" x14ac:dyDescent="0.2">
      <c r="A39" t="s">
        <v>432</v>
      </c>
      <c r="B39" t="s">
        <v>519</v>
      </c>
      <c r="C39" t="s">
        <v>666</v>
      </c>
      <c r="E39" t="s">
        <v>1058</v>
      </c>
      <c r="F39" t="s">
        <v>598</v>
      </c>
      <c r="G39">
        <f t="shared" si="0"/>
        <v>42.682502120999992</v>
      </c>
      <c r="H39">
        <f t="shared" si="1"/>
        <v>32.528958144093671</v>
      </c>
      <c r="I39">
        <f t="shared" si="2"/>
        <v>5.6749997900000008E-2</v>
      </c>
    </row>
  </sheetData>
  <autoFilter ref="A1:I39" xr:uid="{FAD9DCC5-04BF-1E47-BBAB-979AFBADBF21}"/>
  <pageMargins left="0.7" right="0.7" top="0.75" bottom="0.75" header="0.3" footer="0.3"/>
  <pageSetup orientation="portrait" horizontalDpi="0" verticalDpi="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3D3B0-6513-4741-B83C-B70E057AE5BD}">
  <dimension ref="A1:I39"/>
  <sheetViews>
    <sheetView topLeftCell="A13" zoomScale="163" workbookViewId="0">
      <selection activeCell="D34" sqref="D34"/>
    </sheetView>
  </sheetViews>
  <sheetFormatPr baseColWidth="10" defaultRowHeight="16" x14ac:dyDescent="0.2"/>
  <cols>
    <col min="2" max="2" width="26" customWidth="1"/>
    <col min="3" max="3" width="14.33203125" customWidth="1"/>
    <col min="4" max="4" width="42" customWidth="1"/>
    <col min="5" max="5" width="23.5" customWidth="1"/>
    <col min="7" max="7" width="13.5" customWidth="1"/>
    <col min="8" max="8" width="14.5" customWidth="1"/>
  </cols>
  <sheetData>
    <row r="1" spans="1:9" x14ac:dyDescent="0.2">
      <c r="A1" t="s">
        <v>603</v>
      </c>
      <c r="B1" t="s">
        <v>609</v>
      </c>
      <c r="C1" t="s">
        <v>1055</v>
      </c>
      <c r="D1" t="s">
        <v>557</v>
      </c>
      <c r="E1" t="s">
        <v>1056</v>
      </c>
      <c r="F1" t="s">
        <v>599</v>
      </c>
      <c r="G1" t="s">
        <v>605</v>
      </c>
      <c r="H1" t="s">
        <v>606</v>
      </c>
      <c r="I1" t="s">
        <v>1060</v>
      </c>
    </row>
    <row r="2" spans="1:9" x14ac:dyDescent="0.2">
      <c r="A2" t="s">
        <v>230</v>
      </c>
      <c r="B2" t="s">
        <v>474</v>
      </c>
      <c r="C2" t="s">
        <v>474</v>
      </c>
      <c r="D2" t="s">
        <v>191</v>
      </c>
      <c r="E2" t="s">
        <v>1058</v>
      </c>
      <c r="F2" t="s">
        <v>598</v>
      </c>
      <c r="G2">
        <f>C2*(((C2*(1-C2))/(I2^2))-1)</f>
        <v>99.80654944799997</v>
      </c>
      <c r="H2">
        <f>(1 - C2) * ( ((C2 * (1 - C2)) / (I2^2)) - 1 )</f>
        <v>52008.917824975062</v>
      </c>
      <c r="I2">
        <f>(C2*0.1)</f>
        <v>1.9153520000000002E-4</v>
      </c>
    </row>
    <row r="3" spans="1:9" x14ac:dyDescent="0.2">
      <c r="A3" t="s">
        <v>229</v>
      </c>
      <c r="B3" t="s">
        <v>474</v>
      </c>
      <c r="C3" t="s">
        <v>474</v>
      </c>
      <c r="D3" t="s">
        <v>189</v>
      </c>
      <c r="E3" t="s">
        <v>1057</v>
      </c>
      <c r="F3" t="s">
        <v>598</v>
      </c>
      <c r="G3">
        <f t="shared" ref="G3:G39" si="0">C3*(((C3*(1-C3))/(I3^2))-1)</f>
        <v>99.80654944799997</v>
      </c>
      <c r="H3">
        <f t="shared" ref="H3:H39" si="1">(1 - C3) * ( ((C3 * (1 - C3)) / (I3^2)) - 1 )</f>
        <v>52008.917824975062</v>
      </c>
      <c r="I3">
        <f t="shared" ref="I3:I39" si="2">(C3*0.1)</f>
        <v>1.9153520000000002E-4</v>
      </c>
    </row>
    <row r="4" spans="1:9" x14ac:dyDescent="0.2">
      <c r="A4" t="s">
        <v>228</v>
      </c>
      <c r="B4" t="s">
        <v>474</v>
      </c>
      <c r="C4" t="s">
        <v>474</v>
      </c>
      <c r="D4" t="s">
        <v>187</v>
      </c>
      <c r="E4" t="s">
        <v>1058</v>
      </c>
      <c r="F4" t="s">
        <v>598</v>
      </c>
      <c r="G4">
        <f t="shared" si="0"/>
        <v>99.80654944799997</v>
      </c>
      <c r="H4">
        <f t="shared" si="1"/>
        <v>52008.917824975062</v>
      </c>
      <c r="I4">
        <f t="shared" si="2"/>
        <v>1.9153520000000002E-4</v>
      </c>
    </row>
    <row r="5" spans="1:9" x14ac:dyDescent="0.2">
      <c r="A5" t="s">
        <v>227</v>
      </c>
      <c r="B5" t="s">
        <v>474</v>
      </c>
      <c r="C5" t="s">
        <v>474</v>
      </c>
      <c r="D5" t="s">
        <v>185</v>
      </c>
      <c r="E5" t="s">
        <v>1057</v>
      </c>
      <c r="F5" t="s">
        <v>598</v>
      </c>
      <c r="G5">
        <f t="shared" si="0"/>
        <v>99.80654944799997</v>
      </c>
      <c r="H5">
        <f t="shared" si="1"/>
        <v>52008.917824975062</v>
      </c>
      <c r="I5">
        <f t="shared" si="2"/>
        <v>1.9153520000000002E-4</v>
      </c>
    </row>
    <row r="6" spans="1:9" x14ac:dyDescent="0.2">
      <c r="A6" t="s">
        <v>226</v>
      </c>
      <c r="B6" t="s">
        <v>474</v>
      </c>
      <c r="C6" t="s">
        <v>474</v>
      </c>
      <c r="D6" t="s">
        <v>183</v>
      </c>
      <c r="E6" t="s">
        <v>1058</v>
      </c>
      <c r="F6" t="s">
        <v>598</v>
      </c>
      <c r="G6">
        <f t="shared" si="0"/>
        <v>99.80654944799997</v>
      </c>
      <c r="H6">
        <f t="shared" si="1"/>
        <v>52008.917824975062</v>
      </c>
      <c r="I6">
        <f t="shared" si="2"/>
        <v>1.9153520000000002E-4</v>
      </c>
    </row>
    <row r="7" spans="1:9" x14ac:dyDescent="0.2">
      <c r="A7" t="s">
        <v>225</v>
      </c>
      <c r="B7" t="s">
        <v>474</v>
      </c>
      <c r="C7" t="s">
        <v>474</v>
      </c>
      <c r="D7" t="s">
        <v>181</v>
      </c>
      <c r="E7" t="s">
        <v>1057</v>
      </c>
      <c r="F7" t="s">
        <v>598</v>
      </c>
      <c r="G7">
        <f t="shared" si="0"/>
        <v>99.80654944799997</v>
      </c>
      <c r="H7">
        <f t="shared" si="1"/>
        <v>52008.917824975062</v>
      </c>
      <c r="I7">
        <f t="shared" si="2"/>
        <v>1.9153520000000002E-4</v>
      </c>
    </row>
    <row r="8" spans="1:9" x14ac:dyDescent="0.2">
      <c r="A8" t="s">
        <v>224</v>
      </c>
      <c r="B8" t="s">
        <v>474</v>
      </c>
      <c r="C8" t="s">
        <v>474</v>
      </c>
      <c r="D8" t="s">
        <v>179</v>
      </c>
      <c r="E8" t="s">
        <v>1058</v>
      </c>
      <c r="F8" t="s">
        <v>598</v>
      </c>
      <c r="G8">
        <f t="shared" si="0"/>
        <v>99.80654944799997</v>
      </c>
      <c r="H8">
        <f t="shared" si="1"/>
        <v>52008.917824975062</v>
      </c>
      <c r="I8">
        <f t="shared" si="2"/>
        <v>1.9153520000000002E-4</v>
      </c>
    </row>
    <row r="9" spans="1:9" x14ac:dyDescent="0.2">
      <c r="A9" t="s">
        <v>223</v>
      </c>
      <c r="B9" t="s">
        <v>474</v>
      </c>
      <c r="C9" t="s">
        <v>474</v>
      </c>
      <c r="D9" t="s">
        <v>177</v>
      </c>
      <c r="E9" t="s">
        <v>1057</v>
      </c>
      <c r="F9" t="s">
        <v>598</v>
      </c>
      <c r="G9">
        <f t="shared" si="0"/>
        <v>99.80654944799997</v>
      </c>
      <c r="H9">
        <f t="shared" si="1"/>
        <v>52008.917824975062</v>
      </c>
      <c r="I9">
        <f t="shared" si="2"/>
        <v>1.9153520000000002E-4</v>
      </c>
    </row>
    <row r="10" spans="1:9" x14ac:dyDescent="0.2">
      <c r="A10" t="s">
        <v>222</v>
      </c>
      <c r="B10" t="s">
        <v>474</v>
      </c>
      <c r="C10" t="s">
        <v>474</v>
      </c>
      <c r="D10" t="s">
        <v>175</v>
      </c>
      <c r="E10" t="s">
        <v>1058</v>
      </c>
      <c r="F10" t="s">
        <v>598</v>
      </c>
      <c r="G10">
        <f t="shared" si="0"/>
        <v>99.80654944799997</v>
      </c>
      <c r="H10">
        <f t="shared" si="1"/>
        <v>52008.917824975062</v>
      </c>
      <c r="I10">
        <f t="shared" si="2"/>
        <v>1.9153520000000002E-4</v>
      </c>
    </row>
    <row r="11" spans="1:9" x14ac:dyDescent="0.2">
      <c r="A11" t="s">
        <v>221</v>
      </c>
      <c r="B11" t="s">
        <v>474</v>
      </c>
      <c r="C11" t="s">
        <v>474</v>
      </c>
      <c r="D11" t="s">
        <v>173</v>
      </c>
      <c r="E11" t="s">
        <v>1057</v>
      </c>
      <c r="F11" t="s">
        <v>598</v>
      </c>
      <c r="G11">
        <f t="shared" si="0"/>
        <v>99.80654944799997</v>
      </c>
      <c r="H11">
        <f t="shared" si="1"/>
        <v>52008.917824975062</v>
      </c>
      <c r="I11">
        <f t="shared" si="2"/>
        <v>1.9153520000000002E-4</v>
      </c>
    </row>
    <row r="12" spans="1:9" x14ac:dyDescent="0.2">
      <c r="A12" t="s">
        <v>220</v>
      </c>
      <c r="B12" t="s">
        <v>475</v>
      </c>
      <c r="C12" t="s">
        <v>634</v>
      </c>
      <c r="D12" t="s">
        <v>171</v>
      </c>
      <c r="E12" t="s">
        <v>1057</v>
      </c>
      <c r="F12" t="s">
        <v>598</v>
      </c>
      <c r="G12">
        <f t="shared" si="0"/>
        <v>99.535225572999977</v>
      </c>
      <c r="H12">
        <f t="shared" si="1"/>
        <v>21530.436646508933</v>
      </c>
      <c r="I12">
        <f t="shared" si="2"/>
        <v>4.6017270000000003E-4</v>
      </c>
    </row>
    <row r="13" spans="1:9" x14ac:dyDescent="0.2">
      <c r="A13" t="s">
        <v>219</v>
      </c>
      <c r="B13" t="s">
        <v>476</v>
      </c>
      <c r="C13" t="s">
        <v>635</v>
      </c>
      <c r="D13" t="s">
        <v>169</v>
      </c>
      <c r="E13" t="s">
        <v>1057</v>
      </c>
      <c r="F13" t="s">
        <v>598</v>
      </c>
      <c r="G13">
        <f t="shared" si="0"/>
        <v>92.630073732999989</v>
      </c>
      <c r="H13">
        <f t="shared" si="1"/>
        <v>1176.8042608985868</v>
      </c>
      <c r="I13">
        <f t="shared" si="2"/>
        <v>7.2969567000000001E-3</v>
      </c>
    </row>
    <row r="14" spans="1:9" x14ac:dyDescent="0.2">
      <c r="A14" t="s">
        <v>218</v>
      </c>
      <c r="B14" t="s">
        <v>477</v>
      </c>
      <c r="C14" t="s">
        <v>636</v>
      </c>
      <c r="D14" t="s">
        <v>167</v>
      </c>
      <c r="E14" t="s">
        <v>1057</v>
      </c>
      <c r="F14" t="s">
        <v>598</v>
      </c>
      <c r="G14">
        <f t="shared" si="0"/>
        <v>83.145956380999962</v>
      </c>
      <c r="H14">
        <f t="shared" si="1"/>
        <v>415.11676230652051</v>
      </c>
      <c r="I14">
        <f t="shared" si="2"/>
        <v>1.6687171900000002E-2</v>
      </c>
    </row>
    <row r="15" spans="1:9" x14ac:dyDescent="0.2">
      <c r="A15" t="s">
        <v>217</v>
      </c>
      <c r="B15" t="s">
        <v>478</v>
      </c>
      <c r="C15" t="s">
        <v>637</v>
      </c>
      <c r="D15" t="s">
        <v>165</v>
      </c>
      <c r="E15" t="s">
        <v>1057</v>
      </c>
      <c r="F15" t="s">
        <v>598</v>
      </c>
      <c r="G15">
        <f t="shared" si="0"/>
        <v>52.120473482000001</v>
      </c>
      <c r="H15">
        <f t="shared" si="1"/>
        <v>57.825639282982543</v>
      </c>
      <c r="I15">
        <f t="shared" si="2"/>
        <v>4.7405471800000001E-2</v>
      </c>
    </row>
    <row r="16" spans="1:9" x14ac:dyDescent="0.2">
      <c r="A16" t="s">
        <v>216</v>
      </c>
      <c r="B16" t="s">
        <v>475</v>
      </c>
      <c r="C16" t="s">
        <v>634</v>
      </c>
      <c r="D16" t="s">
        <v>163</v>
      </c>
      <c r="E16" t="s">
        <v>1058</v>
      </c>
      <c r="F16" t="s">
        <v>598</v>
      </c>
      <c r="G16">
        <f t="shared" si="0"/>
        <v>99.535225572999977</v>
      </c>
      <c r="H16">
        <f t="shared" si="1"/>
        <v>21530.436646508933</v>
      </c>
      <c r="I16">
        <f t="shared" si="2"/>
        <v>4.6017270000000003E-4</v>
      </c>
    </row>
    <row r="17" spans="1:9" x14ac:dyDescent="0.2">
      <c r="A17" t="s">
        <v>215</v>
      </c>
      <c r="B17" t="s">
        <v>476</v>
      </c>
      <c r="C17" t="s">
        <v>635</v>
      </c>
      <c r="D17" t="s">
        <v>161</v>
      </c>
      <c r="E17" t="s">
        <v>1058</v>
      </c>
      <c r="F17" t="s">
        <v>598</v>
      </c>
      <c r="G17">
        <f t="shared" si="0"/>
        <v>92.630073732999989</v>
      </c>
      <c r="H17">
        <f t="shared" si="1"/>
        <v>1176.8042608985868</v>
      </c>
      <c r="I17">
        <f t="shared" si="2"/>
        <v>7.2969567000000001E-3</v>
      </c>
    </row>
    <row r="18" spans="1:9" x14ac:dyDescent="0.2">
      <c r="A18" t="s">
        <v>214</v>
      </c>
      <c r="B18" t="s">
        <v>477</v>
      </c>
      <c r="C18" t="s">
        <v>636</v>
      </c>
      <c r="D18" t="s">
        <v>159</v>
      </c>
      <c r="E18" t="s">
        <v>1058</v>
      </c>
      <c r="F18" t="s">
        <v>598</v>
      </c>
      <c r="G18">
        <f t="shared" si="0"/>
        <v>83.145956380999962</v>
      </c>
      <c r="H18">
        <f t="shared" si="1"/>
        <v>415.11676230652051</v>
      </c>
      <c r="I18">
        <f t="shared" si="2"/>
        <v>1.6687171900000002E-2</v>
      </c>
    </row>
    <row r="19" spans="1:9" x14ac:dyDescent="0.2">
      <c r="A19" t="s">
        <v>213</v>
      </c>
      <c r="B19" t="s">
        <v>478</v>
      </c>
      <c r="C19" t="s">
        <v>637</v>
      </c>
      <c r="D19" t="s">
        <v>157</v>
      </c>
      <c r="E19" t="s">
        <v>1058</v>
      </c>
      <c r="F19" t="s">
        <v>598</v>
      </c>
      <c r="G19">
        <f t="shared" si="0"/>
        <v>52.120473482000001</v>
      </c>
      <c r="H19">
        <f t="shared" si="1"/>
        <v>57.825639282982543</v>
      </c>
      <c r="I19">
        <f t="shared" si="2"/>
        <v>4.7405471800000001E-2</v>
      </c>
    </row>
    <row r="20" spans="1:9" x14ac:dyDescent="0.2">
      <c r="A20" t="s">
        <v>212</v>
      </c>
      <c r="B20" t="s">
        <v>479</v>
      </c>
      <c r="C20" t="s">
        <v>638</v>
      </c>
      <c r="D20" t="s">
        <v>155</v>
      </c>
      <c r="E20" t="s">
        <v>1058</v>
      </c>
      <c r="F20" t="s">
        <v>598</v>
      </c>
      <c r="G20">
        <f t="shared" si="0"/>
        <v>99.357671612999994</v>
      </c>
      <c r="H20">
        <f t="shared" si="1"/>
        <v>15523.68660918258</v>
      </c>
      <c r="I20">
        <f t="shared" si="2"/>
        <v>6.3596870000000002E-4</v>
      </c>
    </row>
    <row r="21" spans="1:9" x14ac:dyDescent="0.2">
      <c r="A21" t="s">
        <v>211</v>
      </c>
      <c r="B21" t="s">
        <v>480</v>
      </c>
      <c r="C21" t="s">
        <v>639</v>
      </c>
      <c r="D21" t="s">
        <v>153</v>
      </c>
      <c r="E21" t="s">
        <v>1058</v>
      </c>
      <c r="F21" t="s">
        <v>598</v>
      </c>
      <c r="G21">
        <f t="shared" si="0"/>
        <v>88.202527845000006</v>
      </c>
      <c r="H21">
        <f t="shared" si="1"/>
        <v>666.91307618458211</v>
      </c>
      <c r="I21">
        <f t="shared" si="2"/>
        <v>1.16806655E-2</v>
      </c>
    </row>
    <row r="22" spans="1:9" x14ac:dyDescent="0.2">
      <c r="A22" t="s">
        <v>210</v>
      </c>
      <c r="B22" t="s">
        <v>481</v>
      </c>
      <c r="C22" t="s">
        <v>640</v>
      </c>
      <c r="D22" t="s">
        <v>151</v>
      </c>
      <c r="E22" t="s">
        <v>1058</v>
      </c>
      <c r="F22" t="s">
        <v>598</v>
      </c>
      <c r="G22">
        <f t="shared" si="0"/>
        <v>73.741238865999989</v>
      </c>
      <c r="H22">
        <f t="shared" si="1"/>
        <v>209.892291575863</v>
      </c>
      <c r="I22">
        <f t="shared" si="2"/>
        <v>2.5998773400000005E-2</v>
      </c>
    </row>
    <row r="23" spans="1:9" x14ac:dyDescent="0.2">
      <c r="A23" t="s">
        <v>209</v>
      </c>
      <c r="B23" t="s">
        <v>482</v>
      </c>
      <c r="C23" t="s">
        <v>641</v>
      </c>
      <c r="D23" t="s">
        <v>149</v>
      </c>
      <c r="E23" t="s">
        <v>1058</v>
      </c>
      <c r="F23" t="s">
        <v>598</v>
      </c>
      <c r="G23">
        <f t="shared" si="0"/>
        <v>33.869851454000006</v>
      </c>
      <c r="H23">
        <f t="shared" si="1"/>
        <v>17.859277726383741</v>
      </c>
      <c r="I23">
        <f t="shared" si="2"/>
        <v>6.54753946E-2</v>
      </c>
    </row>
    <row r="24" spans="1:9" x14ac:dyDescent="0.2">
      <c r="A24" t="s">
        <v>208</v>
      </c>
      <c r="B24" t="s">
        <v>483</v>
      </c>
      <c r="C24" t="s">
        <v>642</v>
      </c>
      <c r="D24" t="s">
        <v>147</v>
      </c>
      <c r="E24" t="s">
        <v>1058</v>
      </c>
      <c r="F24" t="s">
        <v>598</v>
      </c>
      <c r="G24">
        <f t="shared" si="0"/>
        <v>99.451993593999987</v>
      </c>
      <c r="H24">
        <f t="shared" si="1"/>
        <v>18229.989492887453</v>
      </c>
      <c r="I24">
        <f t="shared" si="2"/>
        <v>5.4258060000000007E-4</v>
      </c>
    </row>
    <row r="25" spans="1:9" x14ac:dyDescent="0.2">
      <c r="A25" t="s">
        <v>207</v>
      </c>
      <c r="B25" t="s">
        <v>484</v>
      </c>
      <c r="C25" t="s">
        <v>643</v>
      </c>
      <c r="D25" t="s">
        <v>145</v>
      </c>
      <c r="E25" t="s">
        <v>1058</v>
      </c>
      <c r="F25" t="s">
        <v>598</v>
      </c>
      <c r="G25">
        <f t="shared" si="0"/>
        <v>90.528883670999974</v>
      </c>
      <c r="H25">
        <f t="shared" si="1"/>
        <v>874.87127964178637</v>
      </c>
      <c r="I25">
        <f t="shared" si="2"/>
        <v>9.3773429000000019E-3</v>
      </c>
    </row>
    <row r="26" spans="1:9" x14ac:dyDescent="0.2">
      <c r="A26" t="s">
        <v>206</v>
      </c>
      <c r="B26" t="s">
        <v>485</v>
      </c>
      <c r="C26" t="s">
        <v>644</v>
      </c>
      <c r="D26" t="s">
        <v>143</v>
      </c>
      <c r="E26" t="s">
        <v>1058</v>
      </c>
      <c r="F26" t="s">
        <v>598</v>
      </c>
      <c r="G26">
        <f t="shared" si="0"/>
        <v>78.600794679999979</v>
      </c>
      <c r="H26">
        <f t="shared" si="1"/>
        <v>292.37934892656631</v>
      </c>
      <c r="I26">
        <f t="shared" si="2"/>
        <v>2.1187332000000003E-2</v>
      </c>
    </row>
    <row r="27" spans="1:9" x14ac:dyDescent="0.2">
      <c r="A27" t="s">
        <v>205</v>
      </c>
      <c r="B27" t="s">
        <v>486</v>
      </c>
      <c r="C27" t="s">
        <v>645</v>
      </c>
      <c r="D27" t="s">
        <v>141</v>
      </c>
      <c r="E27" t="s">
        <v>1058</v>
      </c>
      <c r="F27" t="s">
        <v>598</v>
      </c>
      <c r="G27">
        <f t="shared" si="0"/>
        <v>42.61623117300001</v>
      </c>
      <c r="H27">
        <f t="shared" si="1"/>
        <v>32.391727287333573</v>
      </c>
      <c r="I27">
        <f t="shared" si="2"/>
        <v>5.6815612699999997E-2</v>
      </c>
    </row>
    <row r="28" spans="1:9" x14ac:dyDescent="0.2">
      <c r="A28" t="s">
        <v>204</v>
      </c>
      <c r="B28" t="s">
        <v>487</v>
      </c>
      <c r="C28" t="s">
        <v>646</v>
      </c>
      <c r="E28" t="s">
        <v>1058</v>
      </c>
      <c r="F28" t="s">
        <v>598</v>
      </c>
      <c r="G28">
        <f t="shared" si="0"/>
        <v>99.524114764999965</v>
      </c>
      <c r="H28">
        <f t="shared" si="1"/>
        <v>21023.080353652676</v>
      </c>
      <c r="I28">
        <f t="shared" si="2"/>
        <v>4.7117350000000003E-4</v>
      </c>
    </row>
    <row r="29" spans="1:9" x14ac:dyDescent="0.2">
      <c r="A29" t="s">
        <v>203</v>
      </c>
      <c r="B29" t="s">
        <v>488</v>
      </c>
      <c r="C29" t="s">
        <v>647</v>
      </c>
      <c r="E29" t="s">
        <v>1058</v>
      </c>
      <c r="F29" t="s">
        <v>598</v>
      </c>
      <c r="G29">
        <f t="shared" si="0"/>
        <v>99.602639638999975</v>
      </c>
      <c r="H29">
        <f t="shared" si="1"/>
        <v>25217.131465952873</v>
      </c>
      <c r="I29">
        <f t="shared" si="2"/>
        <v>3.9342609999999998E-4</v>
      </c>
    </row>
    <row r="30" spans="1:9" x14ac:dyDescent="0.2">
      <c r="A30" t="s">
        <v>202</v>
      </c>
      <c r="B30" t="s">
        <v>489</v>
      </c>
      <c r="C30" t="s">
        <v>648</v>
      </c>
      <c r="E30" t="s">
        <v>1058</v>
      </c>
      <c r="F30" t="s">
        <v>598</v>
      </c>
      <c r="G30">
        <f t="shared" si="0"/>
        <v>99.188563373999969</v>
      </c>
      <c r="H30">
        <f t="shared" si="1"/>
        <v>12246.870980620502</v>
      </c>
      <c r="I30">
        <f t="shared" si="2"/>
        <v>8.0340260000000003E-4</v>
      </c>
    </row>
    <row r="31" spans="1:9" x14ac:dyDescent="0.2">
      <c r="A31" t="s">
        <v>201</v>
      </c>
      <c r="B31" t="s">
        <v>490</v>
      </c>
      <c r="C31" t="s">
        <v>649</v>
      </c>
      <c r="E31" t="s">
        <v>1058</v>
      </c>
      <c r="F31" t="s">
        <v>598</v>
      </c>
      <c r="G31">
        <f t="shared" si="0"/>
        <v>92.346937099999991</v>
      </c>
      <c r="H31">
        <f t="shared" si="1"/>
        <v>1126.3861072997786</v>
      </c>
      <c r="I31">
        <f t="shared" si="2"/>
        <v>7.5772900000000004E-3</v>
      </c>
    </row>
    <row r="32" spans="1:9" x14ac:dyDescent="0.2">
      <c r="A32" t="s">
        <v>200</v>
      </c>
      <c r="B32" t="s">
        <v>491</v>
      </c>
      <c r="C32" t="s">
        <v>650</v>
      </c>
      <c r="E32" t="s">
        <v>1058</v>
      </c>
      <c r="F32" t="s">
        <v>598</v>
      </c>
      <c r="G32">
        <f t="shared" si="0"/>
        <v>94.365856096999991</v>
      </c>
      <c r="H32">
        <f t="shared" si="1"/>
        <v>1597.275612400472</v>
      </c>
      <c r="I32">
        <f t="shared" si="2"/>
        <v>5.5783603000000006E-3</v>
      </c>
    </row>
    <row r="33" spans="1:9" x14ac:dyDescent="0.2">
      <c r="A33" t="s">
        <v>199</v>
      </c>
      <c r="B33" t="s">
        <v>492</v>
      </c>
      <c r="C33" t="s">
        <v>651</v>
      </c>
      <c r="E33" t="s">
        <v>1058</v>
      </c>
      <c r="F33" t="s">
        <v>598</v>
      </c>
      <c r="G33">
        <f t="shared" si="0"/>
        <v>95.670978905000027</v>
      </c>
      <c r="H33">
        <f t="shared" si="1"/>
        <v>2136.4199851620165</v>
      </c>
      <c r="I33">
        <f t="shared" si="2"/>
        <v>4.2861595000000001E-3</v>
      </c>
    </row>
    <row r="34" spans="1:9" x14ac:dyDescent="0.2">
      <c r="A34" t="s">
        <v>198</v>
      </c>
      <c r="B34" t="s">
        <v>493</v>
      </c>
      <c r="C34" t="s">
        <v>652</v>
      </c>
      <c r="E34" t="s">
        <v>1058</v>
      </c>
      <c r="F34" t="s">
        <v>598</v>
      </c>
      <c r="G34">
        <f t="shared" si="0"/>
        <v>82.524805471999997</v>
      </c>
      <c r="H34">
        <f t="shared" si="1"/>
        <v>394.43728724273689</v>
      </c>
      <c r="I34">
        <f t="shared" si="2"/>
        <v>1.7302172800000001E-2</v>
      </c>
    </row>
    <row r="35" spans="1:9" x14ac:dyDescent="0.2">
      <c r="A35" t="s">
        <v>197</v>
      </c>
      <c r="B35" t="s">
        <v>494</v>
      </c>
      <c r="C35" t="s">
        <v>653</v>
      </c>
      <c r="E35" t="s">
        <v>1058</v>
      </c>
      <c r="F35" t="s">
        <v>598</v>
      </c>
      <c r="G35">
        <f t="shared" si="0"/>
        <v>87.013453430999974</v>
      </c>
      <c r="H35">
        <f t="shared" si="1"/>
        <v>589.71447803536557</v>
      </c>
      <c r="I35">
        <f t="shared" si="2"/>
        <v>1.2857966900000002E-2</v>
      </c>
    </row>
    <row r="36" spans="1:9" x14ac:dyDescent="0.2">
      <c r="A36" t="s">
        <v>196</v>
      </c>
      <c r="B36" t="s">
        <v>495</v>
      </c>
      <c r="C36" t="s">
        <v>654</v>
      </c>
      <c r="E36" t="s">
        <v>1058</v>
      </c>
      <c r="F36" t="s">
        <v>598</v>
      </c>
      <c r="G36">
        <f t="shared" si="0"/>
        <v>90.600792741999996</v>
      </c>
      <c r="H36">
        <f t="shared" si="1"/>
        <v>882.95791447275269</v>
      </c>
      <c r="I36">
        <f t="shared" si="2"/>
        <v>9.3061458000000003E-3</v>
      </c>
    </row>
    <row r="37" spans="1:9" x14ac:dyDescent="0.2">
      <c r="A37" t="s">
        <v>195</v>
      </c>
      <c r="B37" t="s">
        <v>496</v>
      </c>
      <c r="C37" t="s">
        <v>645</v>
      </c>
      <c r="E37" t="s">
        <v>1058</v>
      </c>
      <c r="F37" t="s">
        <v>598</v>
      </c>
      <c r="G37">
        <f t="shared" si="0"/>
        <v>42.61623117300001</v>
      </c>
      <c r="H37">
        <f t="shared" si="1"/>
        <v>32.391727287333573</v>
      </c>
      <c r="I37">
        <f t="shared" si="2"/>
        <v>5.6815612699999997E-2</v>
      </c>
    </row>
    <row r="38" spans="1:9" x14ac:dyDescent="0.2">
      <c r="A38" t="s">
        <v>194</v>
      </c>
      <c r="B38" t="s">
        <v>496</v>
      </c>
      <c r="C38" t="s">
        <v>645</v>
      </c>
      <c r="E38" t="s">
        <v>1058</v>
      </c>
      <c r="F38" t="s">
        <v>598</v>
      </c>
      <c r="G38">
        <f t="shared" si="0"/>
        <v>42.61623117300001</v>
      </c>
      <c r="H38">
        <f t="shared" si="1"/>
        <v>32.391727287333573</v>
      </c>
      <c r="I38">
        <f t="shared" si="2"/>
        <v>5.6815612699999997E-2</v>
      </c>
    </row>
    <row r="39" spans="1:9" x14ac:dyDescent="0.2">
      <c r="A39" t="s">
        <v>193</v>
      </c>
      <c r="B39" t="s">
        <v>496</v>
      </c>
      <c r="C39" t="s">
        <v>645</v>
      </c>
      <c r="E39" t="s">
        <v>1058</v>
      </c>
      <c r="F39" t="s">
        <v>598</v>
      </c>
      <c r="G39">
        <f t="shared" si="0"/>
        <v>42.61623117300001</v>
      </c>
      <c r="H39">
        <f t="shared" si="1"/>
        <v>32.391727287333573</v>
      </c>
      <c r="I39">
        <f t="shared" si="2"/>
        <v>5.6815612699999997E-2</v>
      </c>
    </row>
  </sheetData>
  <autoFilter ref="A1:I39" xr:uid="{9783D3B0-6513-4741-B83C-B70E057AE5BD}"/>
  <pageMargins left="0.7" right="0.7" top="0.75" bottom="0.75" header="0.3" footer="0.3"/>
  <pageSetup orientation="portrait" horizontalDpi="0" verticalDpi="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F7ED3-C2A1-2C4B-B242-756781005F61}">
  <dimension ref="A1:E7"/>
  <sheetViews>
    <sheetView zoomScale="200" workbookViewId="0">
      <selection activeCell="H19" sqref="H19"/>
    </sheetView>
  </sheetViews>
  <sheetFormatPr baseColWidth="10" defaultRowHeight="16" x14ac:dyDescent="0.2"/>
  <sheetData>
    <row r="1" spans="1:5" x14ac:dyDescent="0.2">
      <c r="A1" s="2" t="s">
        <v>603</v>
      </c>
      <c r="B1" s="2" t="s">
        <v>1055</v>
      </c>
      <c r="C1" s="2" t="s">
        <v>599</v>
      </c>
      <c r="D1" s="2" t="s">
        <v>1061</v>
      </c>
      <c r="E1" s="2" t="s">
        <v>1056</v>
      </c>
    </row>
    <row r="2" spans="1:5" x14ac:dyDescent="0.2">
      <c r="A2" s="2" t="s">
        <v>1062</v>
      </c>
      <c r="B2" s="2">
        <v>1</v>
      </c>
      <c r="C2" s="2" t="s">
        <v>1068</v>
      </c>
      <c r="D2" s="2"/>
      <c r="E2" s="2" t="s">
        <v>1057</v>
      </c>
    </row>
    <row r="3" spans="1:5" x14ac:dyDescent="0.2">
      <c r="A3" s="2" t="s">
        <v>1063</v>
      </c>
      <c r="B3" s="2">
        <v>1</v>
      </c>
      <c r="C3" s="2" t="s">
        <v>1068</v>
      </c>
      <c r="D3" s="2"/>
      <c r="E3" s="2" t="s">
        <v>1057</v>
      </c>
    </row>
    <row r="4" spans="1:5" x14ac:dyDescent="0.2">
      <c r="A4" s="2" t="s">
        <v>1064</v>
      </c>
      <c r="B4" s="2">
        <v>1</v>
      </c>
      <c r="C4" s="2" t="s">
        <v>1068</v>
      </c>
      <c r="D4" s="2"/>
      <c r="E4" s="2" t="s">
        <v>1057</v>
      </c>
    </row>
    <row r="5" spans="1:5" x14ac:dyDescent="0.2">
      <c r="A5" s="2" t="s">
        <v>1065</v>
      </c>
      <c r="B5" s="2">
        <v>1</v>
      </c>
      <c r="C5" s="2" t="s">
        <v>1068</v>
      </c>
      <c r="D5" s="2"/>
      <c r="E5" s="2" t="s">
        <v>1057</v>
      </c>
    </row>
    <row r="6" spans="1:5" x14ac:dyDescent="0.2">
      <c r="A6" s="2" t="s">
        <v>1066</v>
      </c>
      <c r="B6" s="2">
        <v>1</v>
      </c>
      <c r="C6" s="2" t="s">
        <v>1068</v>
      </c>
      <c r="D6" s="2"/>
      <c r="E6" s="2" t="s">
        <v>1057</v>
      </c>
    </row>
    <row r="7" spans="1:5" x14ac:dyDescent="0.2">
      <c r="A7" s="2" t="s">
        <v>1067</v>
      </c>
      <c r="B7" s="2">
        <v>1</v>
      </c>
      <c r="C7" s="2" t="s">
        <v>1068</v>
      </c>
      <c r="D7" s="2"/>
      <c r="E7" s="2" t="s">
        <v>1057</v>
      </c>
    </row>
  </sheetData>
  <pageMargins left="0.7" right="0.7" top="0.75" bottom="0.75" header="0.3" footer="0.3"/>
  <pageSetup orientation="portrait" horizontalDpi="0" verticalDpi="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1E1CC-867D-6A4D-96F6-24C43BF5D072}">
  <dimension ref="A1:H26"/>
  <sheetViews>
    <sheetView zoomScale="150" workbookViewId="0">
      <selection activeCell="E10" sqref="E10"/>
    </sheetView>
  </sheetViews>
  <sheetFormatPr baseColWidth="10" defaultRowHeight="16" x14ac:dyDescent="0.2"/>
  <cols>
    <col min="1" max="1" width="14.6640625" customWidth="1"/>
    <col min="2" max="2" width="14.33203125" style="3" customWidth="1"/>
    <col min="3" max="4" width="17.33203125" customWidth="1"/>
    <col min="6" max="6" width="14.5" customWidth="1"/>
    <col min="7" max="7" width="15.6640625" customWidth="1"/>
  </cols>
  <sheetData>
    <row r="1" spans="1:8" x14ac:dyDescent="0.2">
      <c r="A1" t="s">
        <v>603</v>
      </c>
      <c r="B1" s="3" t="s">
        <v>1055</v>
      </c>
      <c r="C1" t="s">
        <v>557</v>
      </c>
      <c r="D1" t="s">
        <v>1056</v>
      </c>
      <c r="E1" t="s">
        <v>599</v>
      </c>
      <c r="F1" t="s">
        <v>605</v>
      </c>
      <c r="G1" t="s">
        <v>606</v>
      </c>
      <c r="H1" t="s">
        <v>1060</v>
      </c>
    </row>
    <row r="2" spans="1:8" x14ac:dyDescent="0.2">
      <c r="A2" t="s">
        <v>296</v>
      </c>
      <c r="B2">
        <v>2.8629099999999998</v>
      </c>
      <c r="C2" t="s">
        <v>297</v>
      </c>
      <c r="D2" t="s">
        <v>1057</v>
      </c>
      <c r="E2" t="s">
        <v>601</v>
      </c>
      <c r="F2">
        <f t="shared" ref="F2:F6" si="0">(B2^2) / (H2^2)</f>
        <v>99.999999999999972</v>
      </c>
      <c r="G2">
        <f t="shared" ref="G2:G6" si="1">(B2^2) / H2</f>
        <v>28.629099999999994</v>
      </c>
      <c r="H2">
        <f>(B2*0.1)</f>
        <v>0.28629100000000002</v>
      </c>
    </row>
    <row r="3" spans="1:8" x14ac:dyDescent="0.2">
      <c r="A3" t="s">
        <v>298</v>
      </c>
      <c r="B3">
        <v>1.96434</v>
      </c>
      <c r="C3" t="s">
        <v>299</v>
      </c>
      <c r="D3" t="s">
        <v>1057</v>
      </c>
      <c r="E3" t="s">
        <v>601</v>
      </c>
      <c r="F3">
        <f t="shared" si="0"/>
        <v>100.00000000000001</v>
      </c>
      <c r="G3">
        <f t="shared" si="1"/>
        <v>19.6434</v>
      </c>
      <c r="H3">
        <f t="shared" ref="H3:H6" si="2">(B3*0.1)</f>
        <v>0.196434</v>
      </c>
    </row>
    <row r="4" spans="1:8" x14ac:dyDescent="0.2">
      <c r="A4" t="s">
        <v>1207</v>
      </c>
      <c r="B4">
        <v>0.88875186959999997</v>
      </c>
      <c r="C4" t="s">
        <v>299</v>
      </c>
      <c r="D4" t="s">
        <v>1057</v>
      </c>
      <c r="E4" t="s">
        <v>601</v>
      </c>
      <c r="F4">
        <f t="shared" si="0"/>
        <v>99.999999999999986</v>
      </c>
      <c r="G4">
        <f t="shared" si="1"/>
        <v>8.887518695999999</v>
      </c>
      <c r="H4">
        <f t="shared" si="2"/>
        <v>8.8875186960000005E-2</v>
      </c>
    </row>
    <row r="5" spans="1:8" x14ac:dyDescent="0.2">
      <c r="A5" t="s">
        <v>300</v>
      </c>
      <c r="B5">
        <v>0.15167</v>
      </c>
      <c r="C5" t="s">
        <v>297</v>
      </c>
      <c r="D5" t="s">
        <v>1057</v>
      </c>
      <c r="E5" t="s">
        <v>601</v>
      </c>
      <c r="F5">
        <f t="shared" si="0"/>
        <v>100</v>
      </c>
      <c r="G5">
        <f t="shared" si="1"/>
        <v>1.5166999999999999</v>
      </c>
      <c r="H5">
        <f t="shared" si="2"/>
        <v>1.5167E-2</v>
      </c>
    </row>
    <row r="6" spans="1:8" x14ac:dyDescent="0.2">
      <c r="A6" t="s">
        <v>301</v>
      </c>
      <c r="B6">
        <v>0.39561991400000002</v>
      </c>
      <c r="C6" t="s">
        <v>299</v>
      </c>
      <c r="D6" t="s">
        <v>1058</v>
      </c>
      <c r="E6" t="s">
        <v>601</v>
      </c>
      <c r="F6">
        <f t="shared" si="0"/>
        <v>100</v>
      </c>
      <c r="G6">
        <f t="shared" si="1"/>
        <v>3.9561991399999998</v>
      </c>
      <c r="H6">
        <f t="shared" si="2"/>
        <v>3.9561991400000003E-2</v>
      </c>
    </row>
    <row r="7" spans="1:8" x14ac:dyDescent="0.2">
      <c r="A7" s="6" t="s">
        <v>1080</v>
      </c>
      <c r="B7" s="8">
        <v>1.25339371958532</v>
      </c>
      <c r="C7" t="s">
        <v>1102</v>
      </c>
      <c r="D7" t="s">
        <v>1057</v>
      </c>
      <c r="E7" t="s">
        <v>601</v>
      </c>
    </row>
    <row r="13" spans="1:8" x14ac:dyDescent="0.2">
      <c r="B13"/>
      <c r="D13" t="s">
        <v>1101</v>
      </c>
      <c r="E13" t="s">
        <v>1103</v>
      </c>
    </row>
    <row r="14" spans="1:8" x14ac:dyDescent="0.2">
      <c r="A14" t="s">
        <v>1100</v>
      </c>
      <c r="B14">
        <v>1.02</v>
      </c>
      <c r="C14" t="s">
        <v>1099</v>
      </c>
      <c r="D14">
        <v>53713</v>
      </c>
      <c r="E14">
        <f>(D14/D$24)</f>
        <v>1.349121010475637</v>
      </c>
    </row>
    <row r="15" spans="1:8" x14ac:dyDescent="0.2">
      <c r="A15" t="s">
        <v>1098</v>
      </c>
      <c r="B15">
        <v>1</v>
      </c>
      <c r="C15" t="s">
        <v>1097</v>
      </c>
      <c r="D15">
        <v>51653</v>
      </c>
      <c r="E15">
        <f t="shared" ref="E15:E22" si="3">(D15/D$24)</f>
        <v>1.297379545996278</v>
      </c>
    </row>
    <row r="16" spans="1:8" x14ac:dyDescent="0.2">
      <c r="A16" t="s">
        <v>1096</v>
      </c>
      <c r="B16">
        <v>1</v>
      </c>
      <c r="C16" t="s">
        <v>1095</v>
      </c>
      <c r="D16">
        <v>45853</v>
      </c>
      <c r="E16">
        <f t="shared" si="3"/>
        <v>1.151699694549539</v>
      </c>
    </row>
    <row r="17" spans="1:5" x14ac:dyDescent="0.2">
      <c r="A17" t="s">
        <v>1094</v>
      </c>
      <c r="B17">
        <v>1.05</v>
      </c>
      <c r="C17" t="s">
        <v>1093</v>
      </c>
      <c r="D17">
        <v>45956</v>
      </c>
      <c r="E17">
        <f t="shared" si="3"/>
        <v>1.1542867677735069</v>
      </c>
    </row>
    <row r="18" spans="1:5" x14ac:dyDescent="0.2">
      <c r="A18" t="s">
        <v>1092</v>
      </c>
      <c r="B18">
        <v>1.02</v>
      </c>
      <c r="C18" t="s">
        <v>1091</v>
      </c>
      <c r="D18">
        <v>50640</v>
      </c>
      <c r="E18">
        <f t="shared" si="3"/>
        <v>1.271935806424632</v>
      </c>
    </row>
    <row r="19" spans="1:5" x14ac:dyDescent="0.2">
      <c r="A19" t="s">
        <v>1090</v>
      </c>
      <c r="B19">
        <v>210</v>
      </c>
      <c r="C19" t="s">
        <v>1089</v>
      </c>
      <c r="D19">
        <v>54420</v>
      </c>
      <c r="E19">
        <f t="shared" si="3"/>
        <v>1.3668788820226794</v>
      </c>
    </row>
    <row r="20" spans="1:5" x14ac:dyDescent="0.2">
      <c r="A20" t="s">
        <v>1088</v>
      </c>
      <c r="B20">
        <v>1.02</v>
      </c>
      <c r="C20" t="s">
        <v>1087</v>
      </c>
      <c r="D20">
        <v>48208</v>
      </c>
      <c r="E20">
        <f t="shared" si="3"/>
        <v>1.2108507376800683</v>
      </c>
    </row>
    <row r="21" spans="1:5" x14ac:dyDescent="0.2">
      <c r="A21" t="s">
        <v>1086</v>
      </c>
      <c r="B21">
        <v>400</v>
      </c>
      <c r="C21" t="s">
        <v>1085</v>
      </c>
      <c r="D21">
        <v>56489</v>
      </c>
      <c r="E21">
        <f t="shared" si="3"/>
        <v>1.4188464014439384</v>
      </c>
    </row>
    <row r="22" spans="1:5" x14ac:dyDescent="0.2">
      <c r="A22" t="s">
        <v>1084</v>
      </c>
      <c r="B22">
        <v>600</v>
      </c>
      <c r="C22" t="s">
        <v>1083</v>
      </c>
      <c r="D22">
        <v>42184</v>
      </c>
      <c r="E22">
        <f t="shared" si="3"/>
        <v>1.0595446299015931</v>
      </c>
    </row>
    <row r="23" spans="1:5" x14ac:dyDescent="0.2">
      <c r="B23"/>
    </row>
    <row r="24" spans="1:5" x14ac:dyDescent="0.2">
      <c r="A24" t="s">
        <v>1082</v>
      </c>
      <c r="B24">
        <v>1</v>
      </c>
      <c r="C24" t="s">
        <v>1081</v>
      </c>
      <c r="D24">
        <v>39813.33</v>
      </c>
    </row>
    <row r="25" spans="1:5" x14ac:dyDescent="0.2">
      <c r="B25"/>
    </row>
    <row r="26" spans="1:5" x14ac:dyDescent="0.2">
      <c r="B26"/>
      <c r="C26" s="6" t="s">
        <v>1080</v>
      </c>
      <c r="D26" s="6">
        <f>AVERAGE(D14:D22)</f>
        <v>49901.777777777781</v>
      </c>
      <c r="E26" s="6">
        <f>(D26/D$24)</f>
        <v>1.2533937195853193</v>
      </c>
    </row>
  </sheetData>
  <pageMargins left="0.7" right="0.7" top="0.75" bottom="0.75" header="0.3" footer="0.3"/>
  <pageSetup orientation="portrait" horizontalDpi="0" verticalDpi="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90C04-B39F-9849-AD65-72EB48C14411}">
  <dimension ref="A1:J60"/>
  <sheetViews>
    <sheetView zoomScale="125" zoomScaleNormal="170" workbookViewId="0">
      <selection activeCell="A4" sqref="A4:XFD4"/>
    </sheetView>
  </sheetViews>
  <sheetFormatPr baseColWidth="10" defaultRowHeight="16" x14ac:dyDescent="0.2"/>
  <cols>
    <col min="1" max="1" width="11" customWidth="1"/>
    <col min="2" max="2" width="17.1640625" customWidth="1"/>
    <col min="3" max="3" width="43.5" customWidth="1"/>
    <col min="4" max="4" width="41.5" customWidth="1"/>
    <col min="5" max="5" width="15.1640625" customWidth="1"/>
    <col min="6" max="6" width="13.6640625" customWidth="1"/>
    <col min="7" max="7" width="17.33203125" customWidth="1"/>
    <col min="8" max="8" width="16" customWidth="1"/>
    <col min="9" max="9" width="18.83203125" customWidth="1"/>
    <col min="10" max="10" width="14.1640625" customWidth="1"/>
  </cols>
  <sheetData>
    <row r="1" spans="1:10" x14ac:dyDescent="0.2">
      <c r="A1" t="s">
        <v>603</v>
      </c>
      <c r="B1" t="s">
        <v>1055</v>
      </c>
      <c r="C1" t="s">
        <v>557</v>
      </c>
      <c r="D1" t="s">
        <v>1201</v>
      </c>
      <c r="E1" t="s">
        <v>1076</v>
      </c>
      <c r="F1" t="s">
        <v>1056</v>
      </c>
      <c r="G1" t="s">
        <v>599</v>
      </c>
      <c r="H1" t="s">
        <v>605</v>
      </c>
      <c r="I1" t="s">
        <v>606</v>
      </c>
      <c r="J1" t="s">
        <v>1059</v>
      </c>
    </row>
    <row r="2" spans="1:10" x14ac:dyDescent="0.2">
      <c r="A2" t="s">
        <v>532</v>
      </c>
      <c r="B2">
        <v>2.0080483390000001E-3</v>
      </c>
      <c r="C2" s="12" t="s">
        <v>533</v>
      </c>
      <c r="D2" s="12" t="s">
        <v>1202</v>
      </c>
      <c r="E2" t="s">
        <v>1058</v>
      </c>
      <c r="F2" t="s">
        <v>1057</v>
      </c>
      <c r="G2" t="s">
        <v>598</v>
      </c>
      <c r="H2">
        <f t="shared" ref="H2:H9" si="0">B2*(((B2*(1-B2))/(J2^2))-1)</f>
        <v>99.797187117760984</v>
      </c>
      <c r="I2">
        <f t="shared" ref="I2:I9" si="1">(1 - B2) * ( ((B2 * (1 - B2)) / (J2^2)) - 1 )</f>
        <v>49598.800789592089</v>
      </c>
      <c r="J2">
        <f>(B2*0.1)</f>
        <v>2.0080483390000001E-4</v>
      </c>
    </row>
    <row r="3" spans="1:10" x14ac:dyDescent="0.2">
      <c r="A3" t="s">
        <v>534</v>
      </c>
      <c r="B3" t="s">
        <v>535</v>
      </c>
      <c r="C3" s="12" t="s">
        <v>536</v>
      </c>
      <c r="D3" s="12"/>
      <c r="E3" t="s">
        <v>1058</v>
      </c>
      <c r="F3" t="s">
        <v>1057</v>
      </c>
      <c r="G3" t="s">
        <v>598</v>
      </c>
      <c r="H3">
        <f t="shared" si="0"/>
        <v>99.898797391879</v>
      </c>
      <c r="I3">
        <f t="shared" si="1"/>
        <v>99598.900709002512</v>
      </c>
      <c r="J3">
        <f t="shared" ref="J3:J60" si="2">(B3*0.1)</f>
        <v>1.0020060210000001E-4</v>
      </c>
    </row>
    <row r="4" spans="1:10" x14ac:dyDescent="0.2">
      <c r="A4" t="s">
        <v>537</v>
      </c>
      <c r="B4">
        <v>2.0080483390000001E-3</v>
      </c>
      <c r="C4" s="12" t="s">
        <v>538</v>
      </c>
      <c r="D4" s="12"/>
      <c r="E4" t="s">
        <v>1058</v>
      </c>
      <c r="F4" t="s">
        <v>1057</v>
      </c>
      <c r="G4" t="s">
        <v>598</v>
      </c>
      <c r="H4">
        <f t="shared" si="0"/>
        <v>99.797187117760984</v>
      </c>
      <c r="I4">
        <f t="shared" si="1"/>
        <v>49598.800789592089</v>
      </c>
      <c r="J4">
        <f t="shared" si="2"/>
        <v>2.0080483390000001E-4</v>
      </c>
    </row>
    <row r="5" spans="1:10" x14ac:dyDescent="0.2">
      <c r="A5" t="s">
        <v>539</v>
      </c>
      <c r="B5">
        <v>6.0733238520000003E-3</v>
      </c>
      <c r="C5" s="12" t="s">
        <v>540</v>
      </c>
      <c r="D5" s="12"/>
      <c r="E5" t="s">
        <v>1058</v>
      </c>
      <c r="F5" t="s">
        <v>1057</v>
      </c>
      <c r="G5" t="s">
        <v>598</v>
      </c>
      <c r="H5">
        <f t="shared" si="0"/>
        <v>99.386594290947997</v>
      </c>
      <c r="I5">
        <f t="shared" si="1"/>
        <v>16265.061723119146</v>
      </c>
      <c r="J5">
        <f t="shared" si="2"/>
        <v>6.0733238520000008E-4</v>
      </c>
    </row>
    <row r="6" spans="1:10" x14ac:dyDescent="0.2">
      <c r="A6" t="s">
        <v>541</v>
      </c>
      <c r="B6">
        <v>0.41248412229999998</v>
      </c>
      <c r="C6" s="12" t="s">
        <v>542</v>
      </c>
      <c r="D6" s="12"/>
      <c r="E6" t="s">
        <v>1058</v>
      </c>
      <c r="F6" t="s">
        <v>1057</v>
      </c>
      <c r="G6" t="s">
        <v>598</v>
      </c>
      <c r="H6">
        <f t="shared" si="0"/>
        <v>58.339103647699986</v>
      </c>
      <c r="I6">
        <f t="shared" si="1"/>
        <v>83.094470382744547</v>
      </c>
      <c r="J6">
        <f t="shared" si="2"/>
        <v>4.1248412230000003E-2</v>
      </c>
    </row>
    <row r="7" spans="1:10" x14ac:dyDescent="0.2">
      <c r="A7" t="s">
        <v>543</v>
      </c>
      <c r="B7" t="s">
        <v>544</v>
      </c>
      <c r="C7" t="s">
        <v>545</v>
      </c>
      <c r="E7" t="s">
        <v>1058</v>
      </c>
      <c r="F7" t="s">
        <v>1057</v>
      </c>
      <c r="G7" t="s">
        <v>598</v>
      </c>
      <c r="H7">
        <f t="shared" si="0"/>
        <v>93.046141424089996</v>
      </c>
      <c r="I7">
        <f t="shared" si="1"/>
        <v>1258.3848923316243</v>
      </c>
      <c r="J7">
        <f t="shared" si="2"/>
        <v>6.885008491E-3</v>
      </c>
    </row>
    <row r="8" spans="1:10" x14ac:dyDescent="0.2">
      <c r="A8" t="s">
        <v>0</v>
      </c>
      <c r="B8" t="s">
        <v>433</v>
      </c>
      <c r="C8" t="s">
        <v>1</v>
      </c>
      <c r="E8" t="s">
        <v>1058</v>
      </c>
      <c r="F8" t="s">
        <v>1057</v>
      </c>
      <c r="G8" t="s">
        <v>598</v>
      </c>
      <c r="H8">
        <f t="shared" si="0"/>
        <v>86.925606893299999</v>
      </c>
      <c r="I8">
        <f t="shared" si="1"/>
        <v>584.57678901708709</v>
      </c>
      <c r="J8">
        <f t="shared" si="2"/>
        <v>1.294494367E-2</v>
      </c>
    </row>
    <row r="9" spans="1:10" x14ac:dyDescent="0.2">
      <c r="A9" t="s">
        <v>2</v>
      </c>
      <c r="B9" t="s">
        <v>434</v>
      </c>
      <c r="C9" t="s">
        <v>3</v>
      </c>
      <c r="E9" t="s">
        <v>1058</v>
      </c>
      <c r="F9" t="s">
        <v>1057</v>
      </c>
      <c r="G9" t="s">
        <v>598</v>
      </c>
      <c r="H9">
        <f t="shared" si="0"/>
        <v>95.591602478789994</v>
      </c>
      <c r="I9">
        <f t="shared" si="1"/>
        <v>2094.4903499554339</v>
      </c>
      <c r="J9">
        <f t="shared" si="2"/>
        <v>4.3647500210000001E-3</v>
      </c>
    </row>
    <row r="10" spans="1:10" x14ac:dyDescent="0.2">
      <c r="A10" t="s">
        <v>4</v>
      </c>
      <c r="B10">
        <v>0</v>
      </c>
      <c r="C10" t="s">
        <v>5</v>
      </c>
      <c r="E10" t="s">
        <v>1058</v>
      </c>
      <c r="F10" t="s">
        <v>1057</v>
      </c>
      <c r="G10" t="s">
        <v>598</v>
      </c>
      <c r="H10">
        <v>0</v>
      </c>
      <c r="I10">
        <v>0</v>
      </c>
      <c r="J10">
        <f t="shared" si="2"/>
        <v>0</v>
      </c>
    </row>
    <row r="11" spans="1:10" x14ac:dyDescent="0.2">
      <c r="A11" s="6" t="s">
        <v>6</v>
      </c>
      <c r="B11">
        <v>0</v>
      </c>
      <c r="C11" t="s">
        <v>7</v>
      </c>
      <c r="E11" t="s">
        <v>1058</v>
      </c>
      <c r="F11" t="s">
        <v>1057</v>
      </c>
      <c r="G11" t="s">
        <v>598</v>
      </c>
      <c r="H11">
        <v>0</v>
      </c>
      <c r="I11">
        <v>0</v>
      </c>
      <c r="J11">
        <f t="shared" si="2"/>
        <v>0</v>
      </c>
    </row>
    <row r="12" spans="1:10" x14ac:dyDescent="0.2">
      <c r="A12" t="s">
        <v>8</v>
      </c>
      <c r="B12">
        <v>0</v>
      </c>
      <c r="C12" t="s">
        <v>9</v>
      </c>
      <c r="E12" t="s">
        <v>1058</v>
      </c>
      <c r="F12" t="s">
        <v>1057</v>
      </c>
      <c r="G12" t="s">
        <v>598</v>
      </c>
      <c r="H12">
        <v>0</v>
      </c>
      <c r="I12">
        <v>0</v>
      </c>
      <c r="J12">
        <f t="shared" si="2"/>
        <v>0</v>
      </c>
    </row>
    <row r="13" spans="1:10" x14ac:dyDescent="0.2">
      <c r="A13" s="6" t="s">
        <v>10</v>
      </c>
      <c r="B13" t="s">
        <v>435</v>
      </c>
      <c r="C13" t="s">
        <v>11</v>
      </c>
      <c r="E13" t="s">
        <v>1058</v>
      </c>
      <c r="F13" t="s">
        <v>1057</v>
      </c>
      <c r="G13" t="s">
        <v>598</v>
      </c>
      <c r="H13">
        <f>B13*(((B13*(1-B13))/(J13^2))-1)</f>
        <v>98.990000000000023</v>
      </c>
      <c r="I13">
        <f>(1 - B13) * ( ((B13 * (1 - B13)) / (J13^2)) - 1 )</f>
        <v>9800.010000000002</v>
      </c>
      <c r="J13">
        <f t="shared" si="2"/>
        <v>1E-3</v>
      </c>
    </row>
    <row r="14" spans="1:10" x14ac:dyDescent="0.2">
      <c r="A14" t="s">
        <v>12</v>
      </c>
      <c r="B14">
        <v>0</v>
      </c>
      <c r="C14" t="s">
        <v>13</v>
      </c>
      <c r="E14" t="s">
        <v>1058</v>
      </c>
      <c r="F14" t="s">
        <v>1057</v>
      </c>
      <c r="G14" t="s">
        <v>598</v>
      </c>
      <c r="H14">
        <v>0</v>
      </c>
      <c r="I14">
        <v>0</v>
      </c>
      <c r="J14">
        <f t="shared" si="2"/>
        <v>0</v>
      </c>
    </row>
    <row r="15" spans="1:10" x14ac:dyDescent="0.2">
      <c r="A15" s="6" t="s">
        <v>14</v>
      </c>
      <c r="B15" t="s">
        <v>435</v>
      </c>
      <c r="C15" t="s">
        <v>15</v>
      </c>
      <c r="E15" t="s">
        <v>1058</v>
      </c>
      <c r="F15" t="s">
        <v>1057</v>
      </c>
      <c r="G15" t="s">
        <v>598</v>
      </c>
      <c r="H15">
        <f>B15*(((B15*(1-B15))/(J15^2))-1)</f>
        <v>98.990000000000023</v>
      </c>
      <c r="I15">
        <f>(1 - B15) * ( ((B15 * (1 - B15)) / (J15^2)) - 1 )</f>
        <v>9800.010000000002</v>
      </c>
      <c r="J15">
        <f t="shared" si="2"/>
        <v>1E-3</v>
      </c>
    </row>
    <row r="16" spans="1:10" x14ac:dyDescent="0.2">
      <c r="A16" t="s">
        <v>16</v>
      </c>
      <c r="B16">
        <v>0</v>
      </c>
      <c r="C16" t="s">
        <v>17</v>
      </c>
      <c r="E16" t="s">
        <v>1058</v>
      </c>
      <c r="F16" t="s">
        <v>1057</v>
      </c>
      <c r="G16" t="s">
        <v>598</v>
      </c>
      <c r="H16">
        <v>0</v>
      </c>
      <c r="I16">
        <v>0</v>
      </c>
      <c r="J16">
        <f t="shared" si="2"/>
        <v>0</v>
      </c>
    </row>
    <row r="17" spans="1:10" x14ac:dyDescent="0.2">
      <c r="A17" s="6" t="s">
        <v>18</v>
      </c>
      <c r="B17" t="s">
        <v>435</v>
      </c>
      <c r="C17" t="s">
        <v>19</v>
      </c>
      <c r="E17" t="s">
        <v>1058</v>
      </c>
      <c r="F17" t="s">
        <v>1057</v>
      </c>
      <c r="G17" t="s">
        <v>598</v>
      </c>
      <c r="H17">
        <f>B17*(((B17*(1-B17))/(J17^2))-1)</f>
        <v>98.990000000000023</v>
      </c>
      <c r="I17">
        <f>(1 - B17) * ( ((B17 * (1 - B17)) / (J17^2)) - 1 )</f>
        <v>9800.010000000002</v>
      </c>
      <c r="J17">
        <f t="shared" si="2"/>
        <v>1E-3</v>
      </c>
    </row>
    <row r="18" spans="1:10" x14ac:dyDescent="0.2">
      <c r="A18" t="s">
        <v>20</v>
      </c>
      <c r="B18">
        <v>0.45071972830000001</v>
      </c>
      <c r="C18" t="s">
        <v>21</v>
      </c>
      <c r="E18" t="s">
        <v>1058</v>
      </c>
      <c r="F18" t="s">
        <v>1057</v>
      </c>
      <c r="G18" t="s">
        <v>598</v>
      </c>
      <c r="H18">
        <f>B18*(((B18*(1-B18))/(J18^2))-1)</f>
        <v>54.477307441700006</v>
      </c>
      <c r="I18">
        <f>(1 - B18) * ( ((B18 * (1 - B18)) / (J18^2)) - 1 )</f>
        <v>66.390060949682663</v>
      </c>
      <c r="J18">
        <f t="shared" si="2"/>
        <v>4.5071972830000001E-2</v>
      </c>
    </row>
    <row r="19" spans="1:10" x14ac:dyDescent="0.2">
      <c r="A19" t="s">
        <v>22</v>
      </c>
      <c r="B19">
        <v>0</v>
      </c>
      <c r="C19" t="s">
        <v>23</v>
      </c>
      <c r="E19" t="s">
        <v>1058</v>
      </c>
      <c r="F19" t="s">
        <v>1057</v>
      </c>
      <c r="G19" t="s">
        <v>598</v>
      </c>
      <c r="H19">
        <v>0</v>
      </c>
      <c r="I19">
        <v>0</v>
      </c>
      <c r="J19">
        <f t="shared" si="2"/>
        <v>0</v>
      </c>
    </row>
    <row r="20" spans="1:10" x14ac:dyDescent="0.2">
      <c r="A20" s="6" t="s">
        <v>24</v>
      </c>
      <c r="B20">
        <v>0</v>
      </c>
      <c r="C20" t="s">
        <v>25</v>
      </c>
      <c r="E20" t="s">
        <v>1058</v>
      </c>
      <c r="F20" t="s">
        <v>1057</v>
      </c>
      <c r="G20" t="s">
        <v>598</v>
      </c>
      <c r="H20">
        <v>0</v>
      </c>
      <c r="I20">
        <v>0</v>
      </c>
      <c r="J20">
        <f t="shared" si="2"/>
        <v>0</v>
      </c>
    </row>
    <row r="21" spans="1:10" x14ac:dyDescent="0.2">
      <c r="A21" t="s">
        <v>26</v>
      </c>
      <c r="B21">
        <f>(0.01020621831 * 5.2)</f>
        <v>5.3072335211999999E-2</v>
      </c>
      <c r="C21" s="13" t="s">
        <v>1193</v>
      </c>
      <c r="D21" s="13"/>
      <c r="E21" t="s">
        <v>1058</v>
      </c>
      <c r="F21" t="s">
        <v>1057</v>
      </c>
      <c r="G21" t="s">
        <v>598</v>
      </c>
      <c r="H21">
        <f t="shared" ref="H21:H60" si="3">B21*(((B21*(1-B21))/(J21^2))-1)</f>
        <v>94.639694143587988</v>
      </c>
      <c r="I21">
        <f t="shared" ref="I21:I60" si="4">(1 - B21) * ( ((B21 * (1 - B21)) / (J21^2)) - 1 )</f>
        <v>1688.5811452173555</v>
      </c>
      <c r="J21">
        <f t="shared" si="2"/>
        <v>5.3072335212000004E-3</v>
      </c>
    </row>
    <row r="22" spans="1:10" x14ac:dyDescent="0.2">
      <c r="A22" t="s">
        <v>27</v>
      </c>
      <c r="B22" t="s">
        <v>436</v>
      </c>
      <c r="C22" s="13" t="s">
        <v>28</v>
      </c>
      <c r="D22" s="13"/>
      <c r="E22" t="s">
        <v>1058</v>
      </c>
      <c r="F22" t="s">
        <v>1057</v>
      </c>
      <c r="G22" t="s">
        <v>598</v>
      </c>
      <c r="H22">
        <f t="shared" si="3"/>
        <v>98.544659062790004</v>
      </c>
      <c r="I22">
        <f t="shared" si="4"/>
        <v>6740.4099191149353</v>
      </c>
      <c r="J22">
        <f t="shared" si="2"/>
        <v>1.440931621E-3</v>
      </c>
    </row>
    <row r="23" spans="1:10" x14ac:dyDescent="0.2">
      <c r="A23" t="s">
        <v>29</v>
      </c>
      <c r="B23" t="s">
        <v>436</v>
      </c>
      <c r="C23" s="13" t="s">
        <v>30</v>
      </c>
      <c r="D23" s="13"/>
      <c r="E23" t="s">
        <v>1058</v>
      </c>
      <c r="F23" t="s">
        <v>1057</v>
      </c>
      <c r="G23" t="s">
        <v>598</v>
      </c>
      <c r="H23">
        <f t="shared" si="3"/>
        <v>98.544659062790004</v>
      </c>
      <c r="I23">
        <f t="shared" si="4"/>
        <v>6740.4099191149353</v>
      </c>
      <c r="J23">
        <f t="shared" si="2"/>
        <v>1.440931621E-3</v>
      </c>
    </row>
    <row r="24" spans="1:10" x14ac:dyDescent="0.2">
      <c r="A24" t="s">
        <v>31</v>
      </c>
      <c r="B24">
        <v>0.31574457109999998</v>
      </c>
      <c r="C24" s="13" t="s">
        <v>1196</v>
      </c>
      <c r="D24" s="13"/>
      <c r="E24" t="s">
        <v>1058</v>
      </c>
      <c r="F24" t="s">
        <v>1057</v>
      </c>
      <c r="G24" t="s">
        <v>598</v>
      </c>
      <c r="H24">
        <f t="shared" si="3"/>
        <v>68.10979831889999</v>
      </c>
      <c r="I24">
        <f t="shared" si="4"/>
        <v>147.60190206479029</v>
      </c>
      <c r="J24">
        <f t="shared" si="2"/>
        <v>3.1574457110000002E-2</v>
      </c>
    </row>
    <row r="25" spans="1:10" x14ac:dyDescent="0.2">
      <c r="A25" t="s">
        <v>32</v>
      </c>
      <c r="B25" t="s">
        <v>437</v>
      </c>
      <c r="C25" t="s">
        <v>33</v>
      </c>
      <c r="E25" t="s">
        <v>1058</v>
      </c>
      <c r="F25" t="s">
        <v>1057</v>
      </c>
      <c r="G25" t="s">
        <v>598</v>
      </c>
      <c r="H25">
        <f t="shared" si="3"/>
        <v>97.893984598359992</v>
      </c>
      <c r="I25">
        <f t="shared" si="4"/>
        <v>4596.8924052518332</v>
      </c>
      <c r="J25">
        <f t="shared" si="2"/>
        <v>2.0851637640000001E-3</v>
      </c>
    </row>
    <row r="26" spans="1:10" x14ac:dyDescent="0.2">
      <c r="A26" t="s">
        <v>34</v>
      </c>
      <c r="B26" t="s">
        <v>437</v>
      </c>
      <c r="C26" t="s">
        <v>35</v>
      </c>
      <c r="E26" t="s">
        <v>1058</v>
      </c>
      <c r="F26" t="s">
        <v>1057</v>
      </c>
      <c r="G26" t="s">
        <v>598</v>
      </c>
      <c r="H26">
        <f t="shared" si="3"/>
        <v>97.893984598359992</v>
      </c>
      <c r="I26">
        <f t="shared" si="4"/>
        <v>4596.8924052518332</v>
      </c>
      <c r="J26">
        <f t="shared" si="2"/>
        <v>2.0851637640000001E-3</v>
      </c>
    </row>
    <row r="27" spans="1:10" x14ac:dyDescent="0.2">
      <c r="A27" t="s">
        <v>36</v>
      </c>
      <c r="B27" t="s">
        <v>437</v>
      </c>
      <c r="C27" t="s">
        <v>37</v>
      </c>
      <c r="E27" t="s">
        <v>1058</v>
      </c>
      <c r="F27" t="s">
        <v>1057</v>
      </c>
      <c r="G27" t="s">
        <v>598</v>
      </c>
      <c r="H27">
        <f t="shared" si="3"/>
        <v>97.893984598359992</v>
      </c>
      <c r="I27">
        <f t="shared" si="4"/>
        <v>4596.8924052518332</v>
      </c>
      <c r="J27">
        <f t="shared" si="2"/>
        <v>2.0851637640000001E-3</v>
      </c>
    </row>
    <row r="28" spans="1:10" x14ac:dyDescent="0.2">
      <c r="A28" s="7" t="s">
        <v>38</v>
      </c>
      <c r="B28">
        <v>3.9460333629987701E-2</v>
      </c>
      <c r="C28" t="s">
        <v>1195</v>
      </c>
      <c r="E28" t="s">
        <v>1057</v>
      </c>
      <c r="F28" t="s">
        <v>1057</v>
      </c>
      <c r="G28" t="s">
        <v>598</v>
      </c>
      <c r="H28">
        <f t="shared" si="3"/>
        <v>96.01450630337122</v>
      </c>
      <c r="I28">
        <f t="shared" si="4"/>
        <v>2337.1759275049594</v>
      </c>
      <c r="J28">
        <f t="shared" si="2"/>
        <v>3.9460333629987706E-3</v>
      </c>
    </row>
    <row r="29" spans="1:10" x14ac:dyDescent="0.2">
      <c r="A29" s="7" t="s">
        <v>39</v>
      </c>
      <c r="B29">
        <v>3.9460333629987701E-2</v>
      </c>
      <c r="C29" s="11" t="s">
        <v>1194</v>
      </c>
      <c r="D29" s="11"/>
      <c r="E29" t="s">
        <v>1057</v>
      </c>
      <c r="F29" t="s">
        <v>1057</v>
      </c>
      <c r="G29" t="s">
        <v>598</v>
      </c>
      <c r="H29">
        <f t="shared" si="3"/>
        <v>96.01450630337122</v>
      </c>
      <c r="I29">
        <f t="shared" si="4"/>
        <v>2337.1759275049594</v>
      </c>
      <c r="J29">
        <f t="shared" si="2"/>
        <v>3.9460333629987706E-3</v>
      </c>
    </row>
    <row r="30" spans="1:10" x14ac:dyDescent="0.2">
      <c r="A30" t="s">
        <v>40</v>
      </c>
      <c r="B30">
        <v>0.1164045522</v>
      </c>
      <c r="C30" t="s">
        <v>41</v>
      </c>
      <c r="E30" t="s">
        <v>1058</v>
      </c>
      <c r="F30" t="s">
        <v>1057</v>
      </c>
      <c r="G30" t="s">
        <v>598</v>
      </c>
      <c r="H30">
        <f t="shared" si="3"/>
        <v>88.243140227799998</v>
      </c>
      <c r="I30">
        <f t="shared" si="4"/>
        <v>669.82979214502859</v>
      </c>
      <c r="J30">
        <f t="shared" si="2"/>
        <v>1.164045522E-2</v>
      </c>
    </row>
    <row r="31" spans="1:10" x14ac:dyDescent="0.2">
      <c r="A31" t="s">
        <v>42</v>
      </c>
      <c r="B31">
        <v>1</v>
      </c>
      <c r="C31" t="s">
        <v>43</v>
      </c>
      <c r="E31" t="s">
        <v>1058</v>
      </c>
      <c r="F31" t="s">
        <v>1058</v>
      </c>
      <c r="G31" t="s">
        <v>598</v>
      </c>
      <c r="H31">
        <f t="shared" si="3"/>
        <v>-1</v>
      </c>
      <c r="I31">
        <f t="shared" si="4"/>
        <v>0</v>
      </c>
      <c r="J31">
        <f t="shared" si="2"/>
        <v>0.1</v>
      </c>
    </row>
    <row r="32" spans="1:10" x14ac:dyDescent="0.2">
      <c r="A32" t="s">
        <v>44</v>
      </c>
      <c r="B32">
        <v>1</v>
      </c>
      <c r="C32" t="s">
        <v>45</v>
      </c>
      <c r="E32" t="s">
        <v>1058</v>
      </c>
      <c r="F32" t="s">
        <v>1058</v>
      </c>
      <c r="G32" t="s">
        <v>598</v>
      </c>
      <c r="H32">
        <f t="shared" si="3"/>
        <v>-1</v>
      </c>
      <c r="I32">
        <f t="shared" si="4"/>
        <v>0</v>
      </c>
      <c r="J32">
        <f t="shared" si="2"/>
        <v>0.1</v>
      </c>
    </row>
    <row r="33" spans="1:10" x14ac:dyDescent="0.2">
      <c r="A33" t="s">
        <v>46</v>
      </c>
      <c r="B33">
        <v>1</v>
      </c>
      <c r="C33" t="s">
        <v>45</v>
      </c>
      <c r="E33" t="s">
        <v>1058</v>
      </c>
      <c r="F33" t="s">
        <v>1058</v>
      </c>
      <c r="G33" t="s">
        <v>598</v>
      </c>
      <c r="H33">
        <f t="shared" si="3"/>
        <v>-1</v>
      </c>
      <c r="I33">
        <f t="shared" si="4"/>
        <v>0</v>
      </c>
      <c r="J33">
        <f t="shared" si="2"/>
        <v>0.1</v>
      </c>
    </row>
    <row r="34" spans="1:10" x14ac:dyDescent="0.2">
      <c r="A34" t="s">
        <v>47</v>
      </c>
      <c r="B34">
        <v>1</v>
      </c>
      <c r="C34" t="s">
        <v>45</v>
      </c>
      <c r="E34" t="s">
        <v>1058</v>
      </c>
      <c r="F34" t="s">
        <v>1058</v>
      </c>
      <c r="G34" t="s">
        <v>598</v>
      </c>
      <c r="H34">
        <f t="shared" si="3"/>
        <v>-1</v>
      </c>
      <c r="I34">
        <f t="shared" si="4"/>
        <v>0</v>
      </c>
      <c r="J34">
        <f t="shared" si="2"/>
        <v>0.1</v>
      </c>
    </row>
    <row r="35" spans="1:10" x14ac:dyDescent="0.2">
      <c r="A35" t="s">
        <v>48</v>
      </c>
      <c r="B35">
        <v>1</v>
      </c>
      <c r="C35" t="s">
        <v>45</v>
      </c>
      <c r="E35" t="s">
        <v>1058</v>
      </c>
      <c r="F35" t="s">
        <v>1058</v>
      </c>
      <c r="G35" t="s">
        <v>598</v>
      </c>
      <c r="H35">
        <f t="shared" si="3"/>
        <v>-1</v>
      </c>
      <c r="I35">
        <f t="shared" si="4"/>
        <v>0</v>
      </c>
      <c r="J35">
        <f t="shared" si="2"/>
        <v>0.1</v>
      </c>
    </row>
    <row r="36" spans="1:10" x14ac:dyDescent="0.2">
      <c r="A36" s="6" t="s">
        <v>49</v>
      </c>
      <c r="B36">
        <v>0</v>
      </c>
      <c r="C36" t="s">
        <v>1078</v>
      </c>
      <c r="E36" t="s">
        <v>1058</v>
      </c>
      <c r="F36" t="s">
        <v>1057</v>
      </c>
      <c r="G36" t="s">
        <v>598</v>
      </c>
      <c r="H36" t="e">
        <f t="shared" si="3"/>
        <v>#DIV/0!</v>
      </c>
      <c r="I36" t="e">
        <f t="shared" si="4"/>
        <v>#DIV/0!</v>
      </c>
      <c r="J36">
        <f t="shared" si="2"/>
        <v>0</v>
      </c>
    </row>
    <row r="37" spans="1:10" x14ac:dyDescent="0.2">
      <c r="A37" t="s">
        <v>50</v>
      </c>
      <c r="B37" t="s">
        <v>438</v>
      </c>
      <c r="C37" t="s">
        <v>51</v>
      </c>
      <c r="E37" t="s">
        <v>1058</v>
      </c>
      <c r="F37" t="s">
        <v>1057</v>
      </c>
      <c r="G37" t="s">
        <v>598</v>
      </c>
      <c r="H37">
        <f t="shared" si="3"/>
        <v>87.583908399999984</v>
      </c>
      <c r="I37">
        <f t="shared" si="4"/>
        <v>624.87658507767355</v>
      </c>
      <c r="J37">
        <f t="shared" si="2"/>
        <v>1.2293160000000001E-2</v>
      </c>
    </row>
    <row r="38" spans="1:10" x14ac:dyDescent="0.2">
      <c r="A38" t="s">
        <v>52</v>
      </c>
      <c r="B38">
        <v>0.38729024270000001</v>
      </c>
      <c r="C38" t="s">
        <v>53</v>
      </c>
      <c r="E38" t="s">
        <v>1058</v>
      </c>
      <c r="F38" t="s">
        <v>1057</v>
      </c>
      <c r="G38" t="s">
        <v>598</v>
      </c>
      <c r="H38">
        <f t="shared" si="3"/>
        <v>60.883685487299985</v>
      </c>
      <c r="I38">
        <f t="shared" si="4"/>
        <v>96.32059898640226</v>
      </c>
      <c r="J38">
        <f t="shared" si="2"/>
        <v>3.8729024270000002E-2</v>
      </c>
    </row>
    <row r="39" spans="1:10" x14ac:dyDescent="0.2">
      <c r="A39" t="s">
        <v>54</v>
      </c>
      <c r="B39">
        <v>1</v>
      </c>
      <c r="C39" t="s">
        <v>55</v>
      </c>
      <c r="E39" t="s">
        <v>1058</v>
      </c>
      <c r="F39" t="s">
        <v>1058</v>
      </c>
      <c r="G39" t="s">
        <v>598</v>
      </c>
      <c r="H39">
        <f t="shared" si="3"/>
        <v>-1</v>
      </c>
      <c r="I39">
        <f t="shared" si="4"/>
        <v>0</v>
      </c>
      <c r="J39">
        <f t="shared" si="2"/>
        <v>0.1</v>
      </c>
    </row>
    <row r="40" spans="1:10" x14ac:dyDescent="0.2">
      <c r="A40" t="s">
        <v>56</v>
      </c>
      <c r="B40" t="s">
        <v>440</v>
      </c>
      <c r="C40" t="s">
        <v>57</v>
      </c>
      <c r="E40" t="s">
        <v>1058</v>
      </c>
      <c r="F40" t="s">
        <v>1058</v>
      </c>
      <c r="G40" t="s">
        <v>598</v>
      </c>
      <c r="H40">
        <f t="shared" si="3"/>
        <v>79.799999999999983</v>
      </c>
      <c r="I40">
        <f t="shared" si="4"/>
        <v>319.19999999999993</v>
      </c>
      <c r="J40">
        <f t="shared" si="2"/>
        <v>2.0000000000000004E-2</v>
      </c>
    </row>
    <row r="41" spans="1:10" x14ac:dyDescent="0.2">
      <c r="A41" t="s">
        <v>58</v>
      </c>
      <c r="B41">
        <v>1</v>
      </c>
      <c r="C41" t="s">
        <v>59</v>
      </c>
      <c r="E41" t="s">
        <v>1058</v>
      </c>
      <c r="F41" t="s">
        <v>1058</v>
      </c>
      <c r="G41" t="s">
        <v>598</v>
      </c>
      <c r="H41">
        <f t="shared" si="3"/>
        <v>-1</v>
      </c>
      <c r="I41">
        <f t="shared" si="4"/>
        <v>0</v>
      </c>
      <c r="J41">
        <f t="shared" si="2"/>
        <v>0.1</v>
      </c>
    </row>
    <row r="42" spans="1:10" x14ac:dyDescent="0.2">
      <c r="A42" t="s">
        <v>60</v>
      </c>
      <c r="B42">
        <v>1</v>
      </c>
      <c r="C42" t="s">
        <v>59</v>
      </c>
      <c r="E42" t="s">
        <v>1058</v>
      </c>
      <c r="F42" t="s">
        <v>1058</v>
      </c>
      <c r="G42" t="s">
        <v>598</v>
      </c>
      <c r="H42">
        <f t="shared" si="3"/>
        <v>-1</v>
      </c>
      <c r="I42">
        <f t="shared" si="4"/>
        <v>0</v>
      </c>
      <c r="J42">
        <f t="shared" si="2"/>
        <v>0.1</v>
      </c>
    </row>
    <row r="43" spans="1:10" x14ac:dyDescent="0.2">
      <c r="A43" t="s">
        <v>61</v>
      </c>
      <c r="B43">
        <v>1</v>
      </c>
      <c r="C43" t="s">
        <v>59</v>
      </c>
      <c r="E43" t="s">
        <v>1058</v>
      </c>
      <c r="F43" t="s">
        <v>1058</v>
      </c>
      <c r="G43" t="s">
        <v>598</v>
      </c>
      <c r="H43">
        <f t="shared" si="3"/>
        <v>-1</v>
      </c>
      <c r="I43">
        <f t="shared" si="4"/>
        <v>0</v>
      </c>
      <c r="J43">
        <f t="shared" si="2"/>
        <v>0.1</v>
      </c>
    </row>
    <row r="44" spans="1:10" x14ac:dyDescent="0.2">
      <c r="A44" s="6" t="s">
        <v>62</v>
      </c>
      <c r="B44">
        <v>0</v>
      </c>
      <c r="C44" t="s">
        <v>1079</v>
      </c>
      <c r="E44" t="s">
        <v>1058</v>
      </c>
      <c r="F44" t="s">
        <v>1057</v>
      </c>
      <c r="G44" t="s">
        <v>598</v>
      </c>
      <c r="H44" t="e">
        <f t="shared" si="3"/>
        <v>#DIV/0!</v>
      </c>
      <c r="I44" t="e">
        <f t="shared" si="4"/>
        <v>#DIV/0!</v>
      </c>
      <c r="J44">
        <f t="shared" si="2"/>
        <v>0</v>
      </c>
    </row>
    <row r="45" spans="1:10" x14ac:dyDescent="0.2">
      <c r="A45" t="s">
        <v>63</v>
      </c>
      <c r="B45" t="s">
        <v>438</v>
      </c>
      <c r="C45" t="s">
        <v>64</v>
      </c>
      <c r="E45" t="s">
        <v>1058</v>
      </c>
      <c r="F45" t="s">
        <v>1057</v>
      </c>
      <c r="G45" t="s">
        <v>598</v>
      </c>
      <c r="H45">
        <f t="shared" si="3"/>
        <v>87.583908399999984</v>
      </c>
      <c r="I45">
        <f t="shared" si="4"/>
        <v>624.87658507767355</v>
      </c>
      <c r="J45">
        <f t="shared" si="2"/>
        <v>1.2293160000000001E-2</v>
      </c>
    </row>
    <row r="46" spans="1:10" x14ac:dyDescent="0.2">
      <c r="A46" t="s">
        <v>65</v>
      </c>
      <c r="B46" t="s">
        <v>439</v>
      </c>
      <c r="C46" t="s">
        <v>66</v>
      </c>
      <c r="E46" t="s">
        <v>1058</v>
      </c>
      <c r="F46" t="s">
        <v>1057</v>
      </c>
      <c r="G46" t="s">
        <v>598</v>
      </c>
      <c r="H46">
        <f t="shared" si="3"/>
        <v>60.883685487299985</v>
      </c>
      <c r="I46">
        <f t="shared" si="4"/>
        <v>96.32059898640226</v>
      </c>
      <c r="J46">
        <f t="shared" si="2"/>
        <v>3.8729024270000002E-2</v>
      </c>
    </row>
    <row r="47" spans="1:10" x14ac:dyDescent="0.2">
      <c r="A47" t="s">
        <v>67</v>
      </c>
      <c r="B47">
        <v>1</v>
      </c>
      <c r="C47" t="s">
        <v>68</v>
      </c>
      <c r="E47" t="s">
        <v>1058</v>
      </c>
      <c r="F47" t="s">
        <v>1058</v>
      </c>
      <c r="G47" t="s">
        <v>598</v>
      </c>
      <c r="H47">
        <f t="shared" si="3"/>
        <v>-1</v>
      </c>
      <c r="I47">
        <f t="shared" si="4"/>
        <v>0</v>
      </c>
      <c r="J47">
        <f t="shared" si="2"/>
        <v>0.1</v>
      </c>
    </row>
    <row r="48" spans="1:10" x14ac:dyDescent="0.2">
      <c r="A48" t="s">
        <v>69</v>
      </c>
      <c r="B48">
        <v>1</v>
      </c>
      <c r="C48" t="s">
        <v>59</v>
      </c>
      <c r="E48" t="s">
        <v>1058</v>
      </c>
      <c r="F48" t="s">
        <v>1058</v>
      </c>
      <c r="G48" t="s">
        <v>598</v>
      </c>
      <c r="H48">
        <f t="shared" si="3"/>
        <v>-1</v>
      </c>
      <c r="I48">
        <f t="shared" si="4"/>
        <v>0</v>
      </c>
      <c r="J48">
        <f t="shared" si="2"/>
        <v>0.1</v>
      </c>
    </row>
    <row r="49" spans="1:10" x14ac:dyDescent="0.2">
      <c r="A49" t="s">
        <v>70</v>
      </c>
      <c r="B49">
        <v>1</v>
      </c>
      <c r="C49" t="s">
        <v>59</v>
      </c>
      <c r="E49" t="s">
        <v>1058</v>
      </c>
      <c r="F49" t="s">
        <v>1058</v>
      </c>
      <c r="G49" t="s">
        <v>598</v>
      </c>
      <c r="H49">
        <f t="shared" si="3"/>
        <v>-1</v>
      </c>
      <c r="I49">
        <f t="shared" si="4"/>
        <v>0</v>
      </c>
      <c r="J49">
        <f t="shared" si="2"/>
        <v>0.1</v>
      </c>
    </row>
    <row r="50" spans="1:10" x14ac:dyDescent="0.2">
      <c r="A50" t="s">
        <v>71</v>
      </c>
      <c r="B50">
        <v>1</v>
      </c>
      <c r="C50" t="s">
        <v>59</v>
      </c>
      <c r="E50" t="s">
        <v>1058</v>
      </c>
      <c r="F50" t="s">
        <v>1058</v>
      </c>
      <c r="G50" t="s">
        <v>598</v>
      </c>
      <c r="H50">
        <f t="shared" si="3"/>
        <v>-1</v>
      </c>
      <c r="I50">
        <f t="shared" si="4"/>
        <v>0</v>
      </c>
      <c r="J50">
        <f t="shared" si="2"/>
        <v>0.1</v>
      </c>
    </row>
    <row r="51" spans="1:10" x14ac:dyDescent="0.2">
      <c r="A51" t="s">
        <v>72</v>
      </c>
      <c r="B51">
        <v>1</v>
      </c>
      <c r="C51" t="s">
        <v>59</v>
      </c>
      <c r="E51" t="s">
        <v>1058</v>
      </c>
      <c r="F51" t="s">
        <v>1058</v>
      </c>
      <c r="G51" t="s">
        <v>598</v>
      </c>
      <c r="H51">
        <f t="shared" si="3"/>
        <v>-1</v>
      </c>
      <c r="I51">
        <f t="shared" si="4"/>
        <v>0</v>
      </c>
      <c r="J51">
        <f t="shared" si="2"/>
        <v>0.1</v>
      </c>
    </row>
    <row r="52" spans="1:10" x14ac:dyDescent="0.2">
      <c r="A52" s="6" t="s">
        <v>73</v>
      </c>
      <c r="B52">
        <v>0</v>
      </c>
      <c r="C52" t="s">
        <v>1078</v>
      </c>
      <c r="E52" t="s">
        <v>1058</v>
      </c>
      <c r="F52" t="s">
        <v>1057</v>
      </c>
      <c r="G52" t="s">
        <v>598</v>
      </c>
      <c r="H52" t="e">
        <f t="shared" si="3"/>
        <v>#DIV/0!</v>
      </c>
      <c r="I52" t="e">
        <f t="shared" si="4"/>
        <v>#DIV/0!</v>
      </c>
      <c r="J52">
        <f t="shared" si="2"/>
        <v>0</v>
      </c>
    </row>
    <row r="53" spans="1:10" x14ac:dyDescent="0.2">
      <c r="A53" t="s">
        <v>74</v>
      </c>
      <c r="B53" t="s">
        <v>441</v>
      </c>
      <c r="C53" t="s">
        <v>75</v>
      </c>
      <c r="E53" t="s">
        <v>1058</v>
      </c>
      <c r="F53" t="s">
        <v>1057</v>
      </c>
      <c r="G53" t="s">
        <v>598</v>
      </c>
      <c r="H53">
        <f t="shared" si="3"/>
        <v>60.2596007</v>
      </c>
      <c r="I53">
        <f t="shared" si="4"/>
        <v>92.889833576066763</v>
      </c>
      <c r="J53">
        <f t="shared" si="2"/>
        <v>3.9346930000000002E-2</v>
      </c>
    </row>
    <row r="54" spans="1:10" x14ac:dyDescent="0.2">
      <c r="A54" t="s">
        <v>76</v>
      </c>
      <c r="B54" t="s">
        <v>442</v>
      </c>
      <c r="C54" t="s">
        <v>77</v>
      </c>
      <c r="E54" t="s">
        <v>1058</v>
      </c>
      <c r="F54" t="s">
        <v>1057</v>
      </c>
      <c r="G54" t="s">
        <v>598</v>
      </c>
      <c r="H54">
        <f t="shared" si="3"/>
        <v>2.1484962905999985</v>
      </c>
      <c r="I54">
        <f t="shared" si="4"/>
        <v>6.9130594266709519E-2</v>
      </c>
      <c r="J54">
        <f t="shared" si="2"/>
        <v>9.6882676940000009E-2</v>
      </c>
    </row>
    <row r="55" spans="1:10" x14ac:dyDescent="0.2">
      <c r="A55" t="s">
        <v>78</v>
      </c>
      <c r="B55">
        <v>1</v>
      </c>
      <c r="C55" t="s">
        <v>79</v>
      </c>
      <c r="E55" t="s">
        <v>1058</v>
      </c>
      <c r="F55" t="s">
        <v>1058</v>
      </c>
      <c r="G55" t="s">
        <v>598</v>
      </c>
      <c r="H55">
        <f t="shared" si="3"/>
        <v>-1</v>
      </c>
      <c r="I55">
        <f t="shared" si="4"/>
        <v>0</v>
      </c>
      <c r="J55">
        <f t="shared" si="2"/>
        <v>0.1</v>
      </c>
    </row>
    <row r="56" spans="1:10" x14ac:dyDescent="0.2">
      <c r="A56" t="s">
        <v>80</v>
      </c>
      <c r="B56">
        <v>1</v>
      </c>
      <c r="C56" t="s">
        <v>81</v>
      </c>
      <c r="E56" t="s">
        <v>1058</v>
      </c>
      <c r="F56" t="s">
        <v>1058</v>
      </c>
      <c r="G56" t="s">
        <v>598</v>
      </c>
      <c r="H56">
        <f t="shared" si="3"/>
        <v>-1</v>
      </c>
      <c r="I56">
        <f t="shared" si="4"/>
        <v>0</v>
      </c>
      <c r="J56">
        <f t="shared" si="2"/>
        <v>0.1</v>
      </c>
    </row>
    <row r="57" spans="1:10" x14ac:dyDescent="0.2">
      <c r="A57" t="s">
        <v>82</v>
      </c>
      <c r="B57">
        <v>1</v>
      </c>
      <c r="C57" t="s">
        <v>59</v>
      </c>
      <c r="E57" t="s">
        <v>1058</v>
      </c>
      <c r="F57" t="s">
        <v>1058</v>
      </c>
      <c r="G57" t="s">
        <v>598</v>
      </c>
      <c r="H57">
        <f t="shared" si="3"/>
        <v>-1</v>
      </c>
      <c r="I57">
        <f t="shared" si="4"/>
        <v>0</v>
      </c>
      <c r="J57">
        <f t="shared" si="2"/>
        <v>0.1</v>
      </c>
    </row>
    <row r="58" spans="1:10" x14ac:dyDescent="0.2">
      <c r="A58" t="s">
        <v>83</v>
      </c>
      <c r="B58">
        <v>1</v>
      </c>
      <c r="C58" t="s">
        <v>59</v>
      </c>
      <c r="E58" t="s">
        <v>1058</v>
      </c>
      <c r="F58" t="s">
        <v>1058</v>
      </c>
      <c r="G58" t="s">
        <v>598</v>
      </c>
      <c r="H58">
        <f t="shared" si="3"/>
        <v>-1</v>
      </c>
      <c r="I58">
        <f t="shared" si="4"/>
        <v>0</v>
      </c>
      <c r="J58">
        <f t="shared" si="2"/>
        <v>0.1</v>
      </c>
    </row>
    <row r="59" spans="1:10" x14ac:dyDescent="0.2">
      <c r="A59" t="s">
        <v>84</v>
      </c>
      <c r="B59">
        <v>1</v>
      </c>
      <c r="C59" t="s">
        <v>59</v>
      </c>
      <c r="E59" t="s">
        <v>1058</v>
      </c>
      <c r="F59" t="s">
        <v>1058</v>
      </c>
      <c r="G59" t="s">
        <v>598</v>
      </c>
      <c r="H59">
        <f t="shared" si="3"/>
        <v>-1</v>
      </c>
      <c r="I59">
        <f t="shared" si="4"/>
        <v>0</v>
      </c>
      <c r="J59">
        <f t="shared" si="2"/>
        <v>0.1</v>
      </c>
    </row>
    <row r="60" spans="1:10" x14ac:dyDescent="0.2">
      <c r="A60" s="6" t="s">
        <v>85</v>
      </c>
      <c r="B60">
        <v>0</v>
      </c>
      <c r="C60" t="s">
        <v>1077</v>
      </c>
      <c r="E60" t="s">
        <v>1058</v>
      </c>
      <c r="F60" t="s">
        <v>1057</v>
      </c>
      <c r="G60" t="s">
        <v>598</v>
      </c>
      <c r="H60" t="e">
        <f t="shared" si="3"/>
        <v>#DIV/0!</v>
      </c>
      <c r="I60" t="e">
        <f t="shared" si="4"/>
        <v>#DIV/0!</v>
      </c>
      <c r="J60">
        <f t="shared" si="2"/>
        <v>0</v>
      </c>
    </row>
  </sheetData>
  <autoFilter ref="A1:J60" xr:uid="{EC690C04-B39F-9849-AD65-72EB48C14411}"/>
  <pageMargins left="0.7" right="0.7" top="0.75" bottom="0.75" header="0.3" footer="0.3"/>
  <pageSetup orientation="portrait" horizontalDpi="0" verticalDpi="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D9062-6A7D-0D43-A29A-C5C447538AB4}">
  <sheetPr filterMode="1"/>
  <dimension ref="A1:I60"/>
  <sheetViews>
    <sheetView topLeftCell="A12" zoomScale="136" zoomScaleNormal="170" workbookViewId="0">
      <selection activeCell="A25" sqref="A25:XFD25"/>
    </sheetView>
  </sheetViews>
  <sheetFormatPr baseColWidth="10" defaultRowHeight="16" x14ac:dyDescent="0.2"/>
  <cols>
    <col min="1" max="1" width="11" customWidth="1"/>
    <col min="2" max="2" width="17.1640625" customWidth="1"/>
    <col min="3" max="3" width="139.1640625" customWidth="1"/>
    <col min="4" max="4" width="15.1640625" customWidth="1"/>
    <col min="5" max="5" width="13.6640625" customWidth="1"/>
    <col min="6" max="6" width="17.33203125" customWidth="1"/>
    <col min="7" max="7" width="16" customWidth="1"/>
    <col min="8" max="8" width="18.83203125" customWidth="1"/>
    <col min="9" max="9" width="14.1640625" customWidth="1"/>
  </cols>
  <sheetData>
    <row r="1" spans="1:9" x14ac:dyDescent="0.2">
      <c r="A1" t="s">
        <v>603</v>
      </c>
      <c r="B1" t="s">
        <v>1055</v>
      </c>
      <c r="C1" t="s">
        <v>557</v>
      </c>
      <c r="D1" t="s">
        <v>1076</v>
      </c>
      <c r="E1" t="s">
        <v>1056</v>
      </c>
      <c r="F1" t="s">
        <v>599</v>
      </c>
      <c r="G1" t="s">
        <v>605</v>
      </c>
      <c r="H1" t="s">
        <v>606</v>
      </c>
      <c r="I1" t="s">
        <v>1059</v>
      </c>
    </row>
    <row r="2" spans="1:9" x14ac:dyDescent="0.2">
      <c r="A2" t="s">
        <v>532</v>
      </c>
      <c r="B2">
        <v>2.0080483390000001E-3</v>
      </c>
      <c r="C2" t="s">
        <v>533</v>
      </c>
      <c r="D2" t="s">
        <v>1058</v>
      </c>
      <c r="E2" t="s">
        <v>1057</v>
      </c>
      <c r="F2" t="s">
        <v>598</v>
      </c>
      <c r="G2">
        <f t="shared" ref="G2:G9" si="0">B2*(((B2*(1-B2))/(I2^2))-1)</f>
        <v>99.797187117760984</v>
      </c>
      <c r="H2">
        <f t="shared" ref="H2:H9" si="1">(1 - B2) * ( ((B2 * (1 - B2)) / (I2^2)) - 1 )</f>
        <v>49598.800789592089</v>
      </c>
      <c r="I2">
        <f>(B2*0.1)</f>
        <v>2.0080483390000001E-4</v>
      </c>
    </row>
    <row r="3" spans="1:9" x14ac:dyDescent="0.2">
      <c r="A3" t="s">
        <v>534</v>
      </c>
      <c r="B3">
        <v>2.9475520000000002E-2</v>
      </c>
      <c r="C3" t="s">
        <v>536</v>
      </c>
      <c r="D3" t="s">
        <v>1058</v>
      </c>
      <c r="E3" t="s">
        <v>1057</v>
      </c>
      <c r="F3" t="s">
        <v>598</v>
      </c>
      <c r="G3">
        <f t="shared" si="0"/>
        <v>97.022972480000007</v>
      </c>
      <c r="H3">
        <f t="shared" si="1"/>
        <v>3194.6228570083344</v>
      </c>
      <c r="I3">
        <f t="shared" ref="I3:I60" si="2">(B3*0.1)</f>
        <v>2.9475520000000004E-3</v>
      </c>
    </row>
    <row r="4" spans="1:9" x14ac:dyDescent="0.2">
      <c r="A4" t="s">
        <v>537</v>
      </c>
      <c r="B4">
        <v>2.0080483390000001E-3</v>
      </c>
      <c r="C4" t="s">
        <v>538</v>
      </c>
      <c r="D4" t="s">
        <v>1058</v>
      </c>
      <c r="E4" t="s">
        <v>1057</v>
      </c>
      <c r="F4" t="s">
        <v>598</v>
      </c>
      <c r="G4">
        <f t="shared" si="0"/>
        <v>99.797187117760984</v>
      </c>
      <c r="H4">
        <f t="shared" si="1"/>
        <v>49598.800789592089</v>
      </c>
      <c r="I4">
        <f t="shared" si="2"/>
        <v>2.0080483390000001E-4</v>
      </c>
    </row>
    <row r="5" spans="1:9" x14ac:dyDescent="0.2">
      <c r="A5" t="s">
        <v>539</v>
      </c>
      <c r="B5">
        <v>6.0733238520000003E-3</v>
      </c>
      <c r="C5" t="s">
        <v>1197</v>
      </c>
      <c r="D5" t="s">
        <v>1058</v>
      </c>
      <c r="E5" t="s">
        <v>1057</v>
      </c>
      <c r="F5" t="s">
        <v>598</v>
      </c>
      <c r="G5">
        <f t="shared" si="0"/>
        <v>99.386594290947997</v>
      </c>
      <c r="H5">
        <f t="shared" si="1"/>
        <v>16265.061723119146</v>
      </c>
      <c r="I5">
        <f t="shared" si="2"/>
        <v>6.0733238520000008E-4</v>
      </c>
    </row>
    <row r="6" spans="1:9" x14ac:dyDescent="0.2">
      <c r="A6" t="s">
        <v>541</v>
      </c>
      <c r="B6">
        <v>0.28316730000000001</v>
      </c>
      <c r="C6" t="s">
        <v>542</v>
      </c>
      <c r="D6" t="s">
        <v>1058</v>
      </c>
      <c r="E6" t="s">
        <v>1058</v>
      </c>
      <c r="F6" t="s">
        <v>598</v>
      </c>
      <c r="G6">
        <f t="shared" si="0"/>
        <v>71.400102699999991</v>
      </c>
      <c r="H6">
        <f t="shared" si="1"/>
        <v>180.74801856965223</v>
      </c>
      <c r="I6">
        <f t="shared" si="2"/>
        <v>2.8316730000000002E-2</v>
      </c>
    </row>
    <row r="7" spans="1:9" x14ac:dyDescent="0.2">
      <c r="A7" t="s">
        <v>543</v>
      </c>
      <c r="B7">
        <v>6.8850084909999998E-2</v>
      </c>
      <c r="C7" t="s">
        <v>545</v>
      </c>
      <c r="D7" t="s">
        <v>1058</v>
      </c>
      <c r="E7" t="s">
        <v>1058</v>
      </c>
      <c r="F7" t="s">
        <v>598</v>
      </c>
      <c r="G7">
        <f t="shared" si="0"/>
        <v>93.046141424089996</v>
      </c>
      <c r="H7">
        <f t="shared" si="1"/>
        <v>1258.3848923316243</v>
      </c>
      <c r="I7">
        <f t="shared" si="2"/>
        <v>6.885008491E-3</v>
      </c>
    </row>
    <row r="8" spans="1:9" x14ac:dyDescent="0.2">
      <c r="A8" t="s">
        <v>0</v>
      </c>
      <c r="B8">
        <v>4.4316130000000002E-2</v>
      </c>
      <c r="C8" t="s">
        <v>1</v>
      </c>
      <c r="D8" t="s">
        <v>1058</v>
      </c>
      <c r="E8" t="s">
        <v>1058</v>
      </c>
      <c r="F8" t="s">
        <v>598</v>
      </c>
      <c r="G8">
        <f t="shared" si="0"/>
        <v>95.524070870000003</v>
      </c>
      <c r="H8">
        <f t="shared" si="1"/>
        <v>2059.9906563861932</v>
      </c>
      <c r="I8">
        <f t="shared" si="2"/>
        <v>4.431613E-3</v>
      </c>
    </row>
    <row r="9" spans="1:9" x14ac:dyDescent="0.2">
      <c r="A9" t="s">
        <v>2</v>
      </c>
      <c r="B9" t="s">
        <v>434</v>
      </c>
      <c r="C9" t="s">
        <v>3</v>
      </c>
      <c r="D9" t="s">
        <v>1058</v>
      </c>
      <c r="E9" t="s">
        <v>1057</v>
      </c>
      <c r="F9" t="s">
        <v>598</v>
      </c>
      <c r="G9">
        <f t="shared" si="0"/>
        <v>95.591602478789994</v>
      </c>
      <c r="H9">
        <f t="shared" si="1"/>
        <v>2094.4903499554339</v>
      </c>
      <c r="I9">
        <f t="shared" si="2"/>
        <v>4.3647500210000001E-3</v>
      </c>
    </row>
    <row r="10" spans="1:9" x14ac:dyDescent="0.2">
      <c r="A10" t="s">
        <v>4</v>
      </c>
      <c r="B10">
        <v>0</v>
      </c>
      <c r="C10" t="s">
        <v>5</v>
      </c>
      <c r="D10" t="s">
        <v>1058</v>
      </c>
      <c r="E10" t="s">
        <v>1058</v>
      </c>
      <c r="F10" t="s">
        <v>598</v>
      </c>
      <c r="G10">
        <v>0</v>
      </c>
      <c r="H10">
        <v>0</v>
      </c>
      <c r="I10">
        <f t="shared" si="2"/>
        <v>0</v>
      </c>
    </row>
    <row r="11" spans="1:9" x14ac:dyDescent="0.2">
      <c r="A11" t="s">
        <v>6</v>
      </c>
      <c r="B11">
        <v>0</v>
      </c>
      <c r="C11" t="s">
        <v>7</v>
      </c>
      <c r="D11" t="s">
        <v>1058</v>
      </c>
      <c r="E11" t="s">
        <v>1058</v>
      </c>
      <c r="F11" t="s">
        <v>598</v>
      </c>
      <c r="G11">
        <v>0</v>
      </c>
      <c r="H11">
        <v>0</v>
      </c>
      <c r="I11">
        <f t="shared" si="2"/>
        <v>0</v>
      </c>
    </row>
    <row r="12" spans="1:9" x14ac:dyDescent="0.2">
      <c r="A12" t="s">
        <v>8</v>
      </c>
      <c r="B12">
        <v>0</v>
      </c>
      <c r="C12" t="s">
        <v>9</v>
      </c>
      <c r="D12" t="s">
        <v>1058</v>
      </c>
      <c r="E12" t="s">
        <v>1058</v>
      </c>
      <c r="F12" t="s">
        <v>598</v>
      </c>
      <c r="G12">
        <v>0</v>
      </c>
      <c r="H12">
        <v>0</v>
      </c>
      <c r="I12">
        <f t="shared" si="2"/>
        <v>0</v>
      </c>
    </row>
    <row r="13" spans="1:9" x14ac:dyDescent="0.2">
      <c r="A13" t="s">
        <v>10</v>
      </c>
      <c r="B13" t="s">
        <v>435</v>
      </c>
      <c r="C13" t="s">
        <v>11</v>
      </c>
      <c r="D13" t="s">
        <v>1058</v>
      </c>
      <c r="E13" t="s">
        <v>1058</v>
      </c>
      <c r="F13" t="s">
        <v>598</v>
      </c>
      <c r="G13">
        <f>B13*(((B13*(1-B13))/(I13^2))-1)</f>
        <v>98.990000000000023</v>
      </c>
      <c r="H13">
        <f>(1 - B13) * ( ((B13 * (1 - B13)) / (I13^2)) - 1 )</f>
        <v>9800.010000000002</v>
      </c>
      <c r="I13">
        <f t="shared" si="2"/>
        <v>1E-3</v>
      </c>
    </row>
    <row r="14" spans="1:9" x14ac:dyDescent="0.2">
      <c r="A14" t="s">
        <v>12</v>
      </c>
      <c r="B14">
        <v>0</v>
      </c>
      <c r="C14" t="s">
        <v>13</v>
      </c>
      <c r="D14" t="s">
        <v>1058</v>
      </c>
      <c r="E14" t="s">
        <v>1058</v>
      </c>
      <c r="F14" t="s">
        <v>598</v>
      </c>
      <c r="G14">
        <v>0</v>
      </c>
      <c r="H14">
        <v>0</v>
      </c>
      <c r="I14">
        <f t="shared" si="2"/>
        <v>0</v>
      </c>
    </row>
    <row r="15" spans="1:9" x14ac:dyDescent="0.2">
      <c r="A15" t="s">
        <v>14</v>
      </c>
      <c r="B15" t="s">
        <v>435</v>
      </c>
      <c r="C15" t="s">
        <v>15</v>
      </c>
      <c r="D15" t="s">
        <v>1058</v>
      </c>
      <c r="E15" t="s">
        <v>1058</v>
      </c>
      <c r="F15" t="s">
        <v>598</v>
      </c>
      <c r="G15">
        <f>B15*(((B15*(1-B15))/(I15^2))-1)</f>
        <v>98.990000000000023</v>
      </c>
      <c r="H15">
        <f>(1 - B15) * ( ((B15 * (1 - B15)) / (I15^2)) - 1 )</f>
        <v>9800.010000000002</v>
      </c>
      <c r="I15">
        <f t="shared" si="2"/>
        <v>1E-3</v>
      </c>
    </row>
    <row r="16" spans="1:9" x14ac:dyDescent="0.2">
      <c r="A16" t="s">
        <v>16</v>
      </c>
      <c r="B16">
        <v>0</v>
      </c>
      <c r="C16" t="s">
        <v>17</v>
      </c>
      <c r="D16" t="s">
        <v>1058</v>
      </c>
      <c r="E16" t="s">
        <v>1058</v>
      </c>
      <c r="F16" t="s">
        <v>598</v>
      </c>
      <c r="G16">
        <v>0</v>
      </c>
      <c r="H16">
        <v>0</v>
      </c>
      <c r="I16">
        <f t="shared" si="2"/>
        <v>0</v>
      </c>
    </row>
    <row r="17" spans="1:9" x14ac:dyDescent="0.2">
      <c r="A17" t="s">
        <v>18</v>
      </c>
      <c r="B17" t="s">
        <v>435</v>
      </c>
      <c r="C17" t="s">
        <v>19</v>
      </c>
      <c r="D17" t="s">
        <v>1058</v>
      </c>
      <c r="E17" t="s">
        <v>1058</v>
      </c>
      <c r="F17" t="s">
        <v>598</v>
      </c>
      <c r="G17">
        <f>B17*(((B17*(1-B17))/(I17^2))-1)</f>
        <v>98.990000000000023</v>
      </c>
      <c r="H17">
        <f>(1 - B17) * ( ((B17 * (1 - B17)) / (I17^2)) - 1 )</f>
        <v>9800.010000000002</v>
      </c>
      <c r="I17">
        <f t="shared" si="2"/>
        <v>1E-3</v>
      </c>
    </row>
    <row r="18" spans="1:9" x14ac:dyDescent="0.2">
      <c r="A18" t="s">
        <v>20</v>
      </c>
      <c r="B18">
        <v>0.45071972830000001</v>
      </c>
      <c r="C18" t="s">
        <v>21</v>
      </c>
      <c r="D18" t="s">
        <v>1058</v>
      </c>
      <c r="E18" t="s">
        <v>1057</v>
      </c>
      <c r="F18" t="s">
        <v>598</v>
      </c>
      <c r="G18">
        <f>B18*(((B18*(1-B18))/(I18^2))-1)</f>
        <v>54.477307441700006</v>
      </c>
      <c r="H18">
        <f>(1 - B18) * ( ((B18 * (1 - B18)) / (I18^2)) - 1 )</f>
        <v>66.390060949682663</v>
      </c>
      <c r="I18">
        <f t="shared" si="2"/>
        <v>4.5071972830000001E-2</v>
      </c>
    </row>
    <row r="19" spans="1:9" x14ac:dyDescent="0.2">
      <c r="A19" t="s">
        <v>22</v>
      </c>
      <c r="B19">
        <v>0</v>
      </c>
      <c r="C19" t="s">
        <v>23</v>
      </c>
      <c r="D19" t="s">
        <v>1058</v>
      </c>
      <c r="E19" t="s">
        <v>1058</v>
      </c>
      <c r="F19" t="s">
        <v>598</v>
      </c>
      <c r="G19">
        <v>0</v>
      </c>
      <c r="H19">
        <v>0</v>
      </c>
      <c r="I19">
        <f t="shared" si="2"/>
        <v>0</v>
      </c>
    </row>
    <row r="20" spans="1:9" x14ac:dyDescent="0.2">
      <c r="A20" t="s">
        <v>24</v>
      </c>
      <c r="B20">
        <v>0</v>
      </c>
      <c r="C20" t="s">
        <v>25</v>
      </c>
      <c r="D20" t="s">
        <v>1058</v>
      </c>
      <c r="E20" t="s">
        <v>1058</v>
      </c>
      <c r="F20" t="s">
        <v>598</v>
      </c>
      <c r="G20">
        <v>0</v>
      </c>
      <c r="H20">
        <v>0</v>
      </c>
      <c r="I20">
        <f t="shared" si="2"/>
        <v>0</v>
      </c>
    </row>
    <row r="21" spans="1:9" x14ac:dyDescent="0.2">
      <c r="A21" t="s">
        <v>26</v>
      </c>
      <c r="B21">
        <v>0.2446468</v>
      </c>
      <c r="C21" t="s">
        <v>1198</v>
      </c>
      <c r="D21" t="s">
        <v>1058</v>
      </c>
      <c r="E21" t="s">
        <v>1057</v>
      </c>
      <c r="F21" t="s">
        <v>598</v>
      </c>
      <c r="G21">
        <f t="shared" ref="G21:G60" si="3">B21*(((B21*(1-B21))/(I21^2))-1)</f>
        <v>75.290673199999972</v>
      </c>
      <c r="H21">
        <f t="shared" ref="H21:H60" si="4">(1 - B21) * ( ((B21 * (1 - B21)) / (I21^2)) - 1 )</f>
        <v>232.46186310948775</v>
      </c>
      <c r="I21">
        <f t="shared" si="2"/>
        <v>2.4464680000000003E-2</v>
      </c>
    </row>
    <row r="22" spans="1:9" x14ac:dyDescent="0.2">
      <c r="A22" t="s">
        <v>27</v>
      </c>
      <c r="B22" t="s">
        <v>436</v>
      </c>
      <c r="C22" t="s">
        <v>28</v>
      </c>
      <c r="D22" t="s">
        <v>1058</v>
      </c>
      <c r="E22" t="s">
        <v>1057</v>
      </c>
      <c r="F22" t="s">
        <v>598</v>
      </c>
      <c r="G22">
        <f t="shared" si="3"/>
        <v>98.544659062790004</v>
      </c>
      <c r="H22">
        <f t="shared" si="4"/>
        <v>6740.4099191149353</v>
      </c>
      <c r="I22">
        <f t="shared" si="2"/>
        <v>1.440931621E-3</v>
      </c>
    </row>
    <row r="23" spans="1:9" x14ac:dyDescent="0.2">
      <c r="A23" t="s">
        <v>29</v>
      </c>
      <c r="B23" t="s">
        <v>436</v>
      </c>
      <c r="C23" t="s">
        <v>30</v>
      </c>
      <c r="D23" t="s">
        <v>1058</v>
      </c>
      <c r="E23" t="s">
        <v>1057</v>
      </c>
      <c r="F23" t="s">
        <v>598</v>
      </c>
      <c r="G23">
        <f t="shared" si="3"/>
        <v>98.544659062790004</v>
      </c>
      <c r="H23">
        <f t="shared" si="4"/>
        <v>6740.4099191149353</v>
      </c>
      <c r="I23">
        <f t="shared" si="2"/>
        <v>1.440931621E-3</v>
      </c>
    </row>
    <row r="24" spans="1:9" x14ac:dyDescent="0.2">
      <c r="A24" t="s">
        <v>31</v>
      </c>
      <c r="B24">
        <v>0.28316730000000001</v>
      </c>
      <c r="C24" t="s">
        <v>1196</v>
      </c>
      <c r="D24" t="s">
        <v>1058</v>
      </c>
      <c r="E24" t="s">
        <v>1058</v>
      </c>
      <c r="F24" t="s">
        <v>598</v>
      </c>
      <c r="G24">
        <f t="shared" si="3"/>
        <v>71.400102699999991</v>
      </c>
      <c r="H24">
        <f t="shared" si="4"/>
        <v>180.74801856965223</v>
      </c>
      <c r="I24">
        <f t="shared" si="2"/>
        <v>2.8316730000000002E-2</v>
      </c>
    </row>
    <row r="25" spans="1:9" x14ac:dyDescent="0.2">
      <c r="A25" t="s">
        <v>32</v>
      </c>
      <c r="B25" t="s">
        <v>437</v>
      </c>
      <c r="C25" t="s">
        <v>33</v>
      </c>
      <c r="D25" t="s">
        <v>1058</v>
      </c>
      <c r="E25" t="s">
        <v>1058</v>
      </c>
      <c r="F25" t="s">
        <v>598</v>
      </c>
      <c r="G25">
        <f t="shared" si="3"/>
        <v>97.893984598359992</v>
      </c>
      <c r="H25">
        <f t="shared" si="4"/>
        <v>4596.8924052518332</v>
      </c>
      <c r="I25">
        <f t="shared" si="2"/>
        <v>2.0851637640000001E-3</v>
      </c>
    </row>
    <row r="26" spans="1:9" x14ac:dyDescent="0.2">
      <c r="A26" t="s">
        <v>34</v>
      </c>
      <c r="B26">
        <v>5.3392930000000002E-3</v>
      </c>
      <c r="C26" t="s">
        <v>35</v>
      </c>
      <c r="D26" t="s">
        <v>1058</v>
      </c>
      <c r="E26" t="s">
        <v>1058</v>
      </c>
      <c r="F26" t="s">
        <v>598</v>
      </c>
      <c r="G26">
        <f t="shared" si="3"/>
        <v>99.460731406999983</v>
      </c>
      <c r="H26">
        <f t="shared" si="4"/>
        <v>18528.610701833313</v>
      </c>
      <c r="I26">
        <f t="shared" si="2"/>
        <v>5.3392930000000004E-4</v>
      </c>
    </row>
    <row r="27" spans="1:9" x14ac:dyDescent="0.2">
      <c r="A27" t="s">
        <v>36</v>
      </c>
      <c r="B27" t="s">
        <v>437</v>
      </c>
      <c r="C27" t="s">
        <v>37</v>
      </c>
      <c r="D27" t="s">
        <v>1058</v>
      </c>
      <c r="E27" t="s">
        <v>1057</v>
      </c>
      <c r="F27" t="s">
        <v>598</v>
      </c>
      <c r="G27">
        <f t="shared" si="3"/>
        <v>97.893984598359992</v>
      </c>
      <c r="H27">
        <f t="shared" si="4"/>
        <v>4596.8924052518332</v>
      </c>
      <c r="I27">
        <f t="shared" si="2"/>
        <v>2.0851637640000001E-3</v>
      </c>
    </row>
    <row r="28" spans="1:9" x14ac:dyDescent="0.2">
      <c r="A28" t="s">
        <v>38</v>
      </c>
      <c r="B28">
        <v>3.9460333629987701E-2</v>
      </c>
      <c r="C28" t="s">
        <v>1195</v>
      </c>
      <c r="D28" t="s">
        <v>1057</v>
      </c>
      <c r="E28" t="s">
        <v>1057</v>
      </c>
      <c r="F28" t="s">
        <v>598</v>
      </c>
      <c r="G28">
        <f t="shared" si="3"/>
        <v>96.01450630337122</v>
      </c>
      <c r="H28">
        <f t="shared" si="4"/>
        <v>2337.1759275049594</v>
      </c>
      <c r="I28">
        <f t="shared" si="2"/>
        <v>3.9460333629987706E-3</v>
      </c>
    </row>
    <row r="29" spans="1:9" x14ac:dyDescent="0.2">
      <c r="A29" t="s">
        <v>39</v>
      </c>
      <c r="B29">
        <v>3.9460333629987701E-2</v>
      </c>
      <c r="C29" t="s">
        <v>1194</v>
      </c>
      <c r="D29" t="s">
        <v>1057</v>
      </c>
      <c r="E29" t="s">
        <v>1057</v>
      </c>
      <c r="F29" t="s">
        <v>598</v>
      </c>
      <c r="G29">
        <f t="shared" si="3"/>
        <v>96.01450630337122</v>
      </c>
      <c r="H29">
        <f t="shared" si="4"/>
        <v>2337.1759275049594</v>
      </c>
      <c r="I29">
        <f t="shared" si="2"/>
        <v>3.9460333629987706E-3</v>
      </c>
    </row>
    <row r="30" spans="1:9" x14ac:dyDescent="0.2">
      <c r="A30" t="s">
        <v>40</v>
      </c>
      <c r="B30">
        <v>6.9670999999999997E-2</v>
      </c>
      <c r="C30" t="s">
        <v>41</v>
      </c>
      <c r="D30" t="s">
        <v>1058</v>
      </c>
      <c r="E30" t="s">
        <v>1057</v>
      </c>
      <c r="F30" t="s">
        <v>598</v>
      </c>
      <c r="G30">
        <f t="shared" si="3"/>
        <v>92.963228999999984</v>
      </c>
      <c r="H30">
        <f t="shared" si="4"/>
        <v>1241.3541914475318</v>
      </c>
      <c r="I30">
        <f t="shared" si="2"/>
        <v>6.9671000000000004E-3</v>
      </c>
    </row>
    <row r="31" spans="1:9" x14ac:dyDescent="0.2">
      <c r="A31" t="s">
        <v>42</v>
      </c>
      <c r="B31">
        <v>1</v>
      </c>
      <c r="C31" t="s">
        <v>43</v>
      </c>
      <c r="D31" t="s">
        <v>1058</v>
      </c>
      <c r="E31" t="s">
        <v>1058</v>
      </c>
      <c r="F31" t="s">
        <v>598</v>
      </c>
      <c r="G31">
        <f t="shared" si="3"/>
        <v>-1</v>
      </c>
      <c r="H31">
        <f t="shared" si="4"/>
        <v>0</v>
      </c>
      <c r="I31">
        <f t="shared" si="2"/>
        <v>0.1</v>
      </c>
    </row>
    <row r="32" spans="1:9" x14ac:dyDescent="0.2">
      <c r="A32" t="s">
        <v>44</v>
      </c>
      <c r="B32">
        <v>1</v>
      </c>
      <c r="C32" t="s">
        <v>45</v>
      </c>
      <c r="D32" t="s">
        <v>1058</v>
      </c>
      <c r="E32" t="s">
        <v>1058</v>
      </c>
      <c r="F32" t="s">
        <v>598</v>
      </c>
      <c r="G32">
        <f t="shared" si="3"/>
        <v>-1</v>
      </c>
      <c r="H32">
        <f t="shared" si="4"/>
        <v>0</v>
      </c>
      <c r="I32">
        <f t="shared" si="2"/>
        <v>0.1</v>
      </c>
    </row>
    <row r="33" spans="1:9" x14ac:dyDescent="0.2">
      <c r="A33" t="s">
        <v>46</v>
      </c>
      <c r="B33">
        <v>1</v>
      </c>
      <c r="C33" t="s">
        <v>45</v>
      </c>
      <c r="D33" t="s">
        <v>1058</v>
      </c>
      <c r="E33" t="s">
        <v>1058</v>
      </c>
      <c r="F33" t="s">
        <v>598</v>
      </c>
      <c r="G33">
        <f t="shared" si="3"/>
        <v>-1</v>
      </c>
      <c r="H33">
        <f t="shared" si="4"/>
        <v>0</v>
      </c>
      <c r="I33">
        <f t="shared" si="2"/>
        <v>0.1</v>
      </c>
    </row>
    <row r="34" spans="1:9" x14ac:dyDescent="0.2">
      <c r="A34" t="s">
        <v>47</v>
      </c>
      <c r="B34">
        <v>1</v>
      </c>
      <c r="C34" t="s">
        <v>45</v>
      </c>
      <c r="D34" t="s">
        <v>1058</v>
      </c>
      <c r="E34" t="s">
        <v>1058</v>
      </c>
      <c r="F34" t="s">
        <v>598</v>
      </c>
      <c r="G34">
        <f t="shared" si="3"/>
        <v>-1</v>
      </c>
      <c r="H34">
        <f t="shared" si="4"/>
        <v>0</v>
      </c>
      <c r="I34">
        <f t="shared" si="2"/>
        <v>0.1</v>
      </c>
    </row>
    <row r="35" spans="1:9" x14ac:dyDescent="0.2">
      <c r="A35" t="s">
        <v>48</v>
      </c>
      <c r="B35">
        <v>1</v>
      </c>
      <c r="C35" t="s">
        <v>45</v>
      </c>
      <c r="D35" t="s">
        <v>1058</v>
      </c>
      <c r="E35" t="s">
        <v>1058</v>
      </c>
      <c r="F35" t="s">
        <v>598</v>
      </c>
      <c r="G35">
        <f t="shared" si="3"/>
        <v>-1</v>
      </c>
      <c r="H35">
        <f t="shared" si="4"/>
        <v>0</v>
      </c>
      <c r="I35">
        <f t="shared" si="2"/>
        <v>0.1</v>
      </c>
    </row>
    <row r="36" spans="1:9" x14ac:dyDescent="0.2">
      <c r="A36" t="s">
        <v>49</v>
      </c>
      <c r="B36">
        <v>0</v>
      </c>
      <c r="C36" t="s">
        <v>1078</v>
      </c>
      <c r="D36" t="s">
        <v>1058</v>
      </c>
      <c r="E36" t="s">
        <v>1058</v>
      </c>
      <c r="F36" t="s">
        <v>598</v>
      </c>
      <c r="G36" t="e">
        <f t="shared" si="3"/>
        <v>#DIV/0!</v>
      </c>
      <c r="H36" t="e">
        <f t="shared" si="4"/>
        <v>#DIV/0!</v>
      </c>
      <c r="I36">
        <f t="shared" si="2"/>
        <v>0</v>
      </c>
    </row>
    <row r="37" spans="1:9" x14ac:dyDescent="0.2">
      <c r="A37" t="s">
        <v>50</v>
      </c>
      <c r="B37">
        <v>0.260602</v>
      </c>
      <c r="C37" t="s">
        <v>1199</v>
      </c>
      <c r="D37" t="s">
        <v>1058</v>
      </c>
      <c r="E37" t="s">
        <v>1057</v>
      </c>
      <c r="F37" t="s">
        <v>598</v>
      </c>
      <c r="G37">
        <f t="shared" si="3"/>
        <v>73.679197999999985</v>
      </c>
      <c r="H37">
        <f t="shared" si="4"/>
        <v>209.04771123323684</v>
      </c>
      <c r="I37">
        <f t="shared" si="2"/>
        <v>2.6060200000000002E-2</v>
      </c>
    </row>
    <row r="38" spans="1:9" x14ac:dyDescent="0.2">
      <c r="A38" t="s">
        <v>52</v>
      </c>
      <c r="B38">
        <v>0.58463297332395703</v>
      </c>
      <c r="C38" t="s">
        <v>53</v>
      </c>
      <c r="D38" t="s">
        <v>1058</v>
      </c>
      <c r="E38" t="s">
        <v>1057</v>
      </c>
      <c r="F38" t="s">
        <v>598</v>
      </c>
      <c r="G38">
        <f t="shared" si="3"/>
        <v>40.952069694280333</v>
      </c>
      <c r="H38">
        <f t="shared" si="4"/>
        <v>29.09541575876468</v>
      </c>
      <c r="I38">
        <f t="shared" si="2"/>
        <v>5.8463297332395706E-2</v>
      </c>
    </row>
    <row r="39" spans="1:9" x14ac:dyDescent="0.2">
      <c r="A39" t="s">
        <v>54</v>
      </c>
      <c r="B39">
        <v>1</v>
      </c>
      <c r="C39" t="s">
        <v>55</v>
      </c>
      <c r="D39" t="s">
        <v>1058</v>
      </c>
      <c r="E39" t="s">
        <v>1058</v>
      </c>
      <c r="F39" t="s">
        <v>598</v>
      </c>
      <c r="G39">
        <f t="shared" si="3"/>
        <v>-1</v>
      </c>
      <c r="H39">
        <f t="shared" si="4"/>
        <v>0</v>
      </c>
      <c r="I39">
        <f t="shared" si="2"/>
        <v>0.1</v>
      </c>
    </row>
    <row r="40" spans="1:9" x14ac:dyDescent="0.2">
      <c r="A40" t="s">
        <v>56</v>
      </c>
      <c r="B40">
        <v>1</v>
      </c>
      <c r="C40" t="s">
        <v>57</v>
      </c>
      <c r="D40" t="s">
        <v>1058</v>
      </c>
      <c r="E40" t="s">
        <v>1058</v>
      </c>
      <c r="F40" t="s">
        <v>598</v>
      </c>
      <c r="G40">
        <f t="shared" si="3"/>
        <v>-1</v>
      </c>
      <c r="H40">
        <f t="shared" si="4"/>
        <v>0</v>
      </c>
      <c r="I40">
        <f t="shared" si="2"/>
        <v>0.1</v>
      </c>
    </row>
    <row r="41" spans="1:9" x14ac:dyDescent="0.2">
      <c r="A41" t="s">
        <v>58</v>
      </c>
      <c r="B41">
        <v>1</v>
      </c>
      <c r="C41" t="s">
        <v>59</v>
      </c>
      <c r="D41" t="s">
        <v>1058</v>
      </c>
      <c r="E41" t="s">
        <v>1058</v>
      </c>
      <c r="F41" t="s">
        <v>598</v>
      </c>
      <c r="G41">
        <f t="shared" si="3"/>
        <v>-1</v>
      </c>
      <c r="H41">
        <f t="shared" si="4"/>
        <v>0</v>
      </c>
      <c r="I41">
        <f t="shared" si="2"/>
        <v>0.1</v>
      </c>
    </row>
    <row r="42" spans="1:9" x14ac:dyDescent="0.2">
      <c r="A42" t="s">
        <v>60</v>
      </c>
      <c r="B42">
        <v>1</v>
      </c>
      <c r="C42" t="s">
        <v>59</v>
      </c>
      <c r="D42" t="s">
        <v>1058</v>
      </c>
      <c r="E42" t="s">
        <v>1058</v>
      </c>
      <c r="F42" t="s">
        <v>598</v>
      </c>
      <c r="G42">
        <f t="shared" si="3"/>
        <v>-1</v>
      </c>
      <c r="H42">
        <f t="shared" si="4"/>
        <v>0</v>
      </c>
      <c r="I42">
        <f t="shared" si="2"/>
        <v>0.1</v>
      </c>
    </row>
    <row r="43" spans="1:9" x14ac:dyDescent="0.2">
      <c r="A43" t="s">
        <v>61</v>
      </c>
      <c r="B43">
        <v>1</v>
      </c>
      <c r="C43" t="s">
        <v>59</v>
      </c>
      <c r="D43" t="s">
        <v>1058</v>
      </c>
      <c r="E43" t="s">
        <v>1058</v>
      </c>
      <c r="F43" t="s">
        <v>598</v>
      </c>
      <c r="G43">
        <f t="shared" si="3"/>
        <v>-1</v>
      </c>
      <c r="H43">
        <f t="shared" si="4"/>
        <v>0</v>
      </c>
      <c r="I43">
        <f t="shared" si="2"/>
        <v>0.1</v>
      </c>
    </row>
    <row r="44" spans="1:9" x14ac:dyDescent="0.2">
      <c r="A44" t="s">
        <v>62</v>
      </c>
      <c r="B44">
        <v>0</v>
      </c>
      <c r="C44" t="s">
        <v>1079</v>
      </c>
      <c r="D44" t="s">
        <v>1058</v>
      </c>
      <c r="E44" t="s">
        <v>1058</v>
      </c>
      <c r="F44" t="s">
        <v>598</v>
      </c>
      <c r="G44" t="e">
        <f t="shared" si="3"/>
        <v>#DIV/0!</v>
      </c>
      <c r="H44" t="e">
        <f t="shared" si="4"/>
        <v>#DIV/0!</v>
      </c>
      <c r="I44">
        <f t="shared" si="2"/>
        <v>0</v>
      </c>
    </row>
    <row r="45" spans="1:9" x14ac:dyDescent="0.2">
      <c r="A45" t="s">
        <v>63</v>
      </c>
      <c r="B45">
        <v>0.260602</v>
      </c>
      <c r="C45" t="s">
        <v>1200</v>
      </c>
      <c r="D45" t="s">
        <v>1058</v>
      </c>
      <c r="E45" t="s">
        <v>1057</v>
      </c>
      <c r="F45" t="s">
        <v>598</v>
      </c>
      <c r="G45">
        <f t="shared" si="3"/>
        <v>73.679197999999985</v>
      </c>
      <c r="H45">
        <f t="shared" si="4"/>
        <v>209.04771123323684</v>
      </c>
      <c r="I45">
        <f t="shared" si="2"/>
        <v>2.6060200000000002E-2</v>
      </c>
    </row>
    <row r="46" spans="1:9" x14ac:dyDescent="0.2">
      <c r="A46" t="s">
        <v>65</v>
      </c>
      <c r="B46">
        <v>0.58463297332395703</v>
      </c>
      <c r="C46" t="s">
        <v>66</v>
      </c>
      <c r="D46" t="s">
        <v>1058</v>
      </c>
      <c r="E46" t="s">
        <v>1057</v>
      </c>
      <c r="F46" t="s">
        <v>598</v>
      </c>
      <c r="G46">
        <f t="shared" si="3"/>
        <v>40.952069694280333</v>
      </c>
      <c r="H46">
        <f t="shared" si="4"/>
        <v>29.09541575876468</v>
      </c>
      <c r="I46">
        <f t="shared" si="2"/>
        <v>5.8463297332395706E-2</v>
      </c>
    </row>
    <row r="47" spans="1:9" x14ac:dyDescent="0.2">
      <c r="A47" t="s">
        <v>67</v>
      </c>
      <c r="B47">
        <v>1</v>
      </c>
      <c r="C47" t="s">
        <v>68</v>
      </c>
      <c r="D47" t="s">
        <v>1058</v>
      </c>
      <c r="E47" t="s">
        <v>1058</v>
      </c>
      <c r="F47" t="s">
        <v>598</v>
      </c>
      <c r="G47">
        <f t="shared" si="3"/>
        <v>-1</v>
      </c>
      <c r="H47">
        <f t="shared" si="4"/>
        <v>0</v>
      </c>
      <c r="I47">
        <f t="shared" si="2"/>
        <v>0.1</v>
      </c>
    </row>
    <row r="48" spans="1:9" x14ac:dyDescent="0.2">
      <c r="A48" t="s">
        <v>69</v>
      </c>
      <c r="B48">
        <v>1</v>
      </c>
      <c r="C48" t="s">
        <v>59</v>
      </c>
      <c r="D48" t="s">
        <v>1058</v>
      </c>
      <c r="E48" t="s">
        <v>1058</v>
      </c>
      <c r="F48" t="s">
        <v>598</v>
      </c>
      <c r="G48">
        <f t="shared" si="3"/>
        <v>-1</v>
      </c>
      <c r="H48">
        <f t="shared" si="4"/>
        <v>0</v>
      </c>
      <c r="I48">
        <f t="shared" si="2"/>
        <v>0.1</v>
      </c>
    </row>
    <row r="49" spans="1:9" x14ac:dyDescent="0.2">
      <c r="A49" t="s">
        <v>70</v>
      </c>
      <c r="B49">
        <v>1</v>
      </c>
      <c r="C49" t="s">
        <v>59</v>
      </c>
      <c r="D49" t="s">
        <v>1058</v>
      </c>
      <c r="E49" t="s">
        <v>1058</v>
      </c>
      <c r="F49" t="s">
        <v>598</v>
      </c>
      <c r="G49">
        <f t="shared" si="3"/>
        <v>-1</v>
      </c>
      <c r="H49">
        <f t="shared" si="4"/>
        <v>0</v>
      </c>
      <c r="I49">
        <f t="shared" si="2"/>
        <v>0.1</v>
      </c>
    </row>
    <row r="50" spans="1:9" x14ac:dyDescent="0.2">
      <c r="A50" t="s">
        <v>71</v>
      </c>
      <c r="B50">
        <v>1</v>
      </c>
      <c r="C50" t="s">
        <v>59</v>
      </c>
      <c r="D50" t="s">
        <v>1058</v>
      </c>
      <c r="E50" t="s">
        <v>1058</v>
      </c>
      <c r="F50" t="s">
        <v>598</v>
      </c>
      <c r="G50">
        <f t="shared" si="3"/>
        <v>-1</v>
      </c>
      <c r="H50">
        <f t="shared" si="4"/>
        <v>0</v>
      </c>
      <c r="I50">
        <f t="shared" si="2"/>
        <v>0.1</v>
      </c>
    </row>
    <row r="51" spans="1:9" x14ac:dyDescent="0.2">
      <c r="A51" t="s">
        <v>72</v>
      </c>
      <c r="B51">
        <v>1</v>
      </c>
      <c r="C51" t="s">
        <v>59</v>
      </c>
      <c r="D51" t="s">
        <v>1058</v>
      </c>
      <c r="E51" t="s">
        <v>1058</v>
      </c>
      <c r="F51" t="s">
        <v>598</v>
      </c>
      <c r="G51">
        <f t="shared" si="3"/>
        <v>-1</v>
      </c>
      <c r="H51">
        <f t="shared" si="4"/>
        <v>0</v>
      </c>
      <c r="I51">
        <f t="shared" si="2"/>
        <v>0.1</v>
      </c>
    </row>
    <row r="52" spans="1:9" x14ac:dyDescent="0.2">
      <c r="A52" t="s">
        <v>73</v>
      </c>
      <c r="B52">
        <v>0</v>
      </c>
      <c r="C52" t="s">
        <v>1078</v>
      </c>
      <c r="D52" t="s">
        <v>1058</v>
      </c>
      <c r="E52" t="s">
        <v>1058</v>
      </c>
      <c r="F52" t="s">
        <v>598</v>
      </c>
      <c r="G52" t="e">
        <f t="shared" si="3"/>
        <v>#DIV/0!</v>
      </c>
      <c r="H52" t="e">
        <f t="shared" si="4"/>
        <v>#DIV/0!</v>
      </c>
      <c r="I52">
        <f t="shared" si="2"/>
        <v>0</v>
      </c>
    </row>
    <row r="53" spans="1:9" x14ac:dyDescent="0.2">
      <c r="A53" t="s">
        <v>74</v>
      </c>
      <c r="B53">
        <v>0.38729024270000001</v>
      </c>
      <c r="C53" t="s">
        <v>75</v>
      </c>
      <c r="D53" t="s">
        <v>1058</v>
      </c>
      <c r="E53" t="s">
        <v>1057</v>
      </c>
      <c r="F53" t="s">
        <v>598</v>
      </c>
      <c r="G53">
        <f t="shared" si="3"/>
        <v>60.883685487299985</v>
      </c>
      <c r="H53">
        <f t="shared" si="4"/>
        <v>96.32059898640226</v>
      </c>
      <c r="I53">
        <f t="shared" si="2"/>
        <v>3.8729024270000002E-2</v>
      </c>
    </row>
    <row r="54" spans="1:9" x14ac:dyDescent="0.2">
      <c r="A54" t="s">
        <v>76</v>
      </c>
      <c r="B54">
        <v>0.99782300000000002</v>
      </c>
      <c r="C54" t="s">
        <v>77</v>
      </c>
      <c r="D54" t="s">
        <v>1058</v>
      </c>
      <c r="E54" t="s">
        <v>1057</v>
      </c>
      <c r="F54" t="s">
        <v>598</v>
      </c>
      <c r="G54">
        <f t="shared" si="3"/>
        <v>-0.78012300000000157</v>
      </c>
      <c r="H54">
        <f t="shared" si="4"/>
        <v>-1.7020330970522741E-3</v>
      </c>
      <c r="I54">
        <f t="shared" si="2"/>
        <v>9.9782300000000004E-2</v>
      </c>
    </row>
    <row r="55" spans="1:9" x14ac:dyDescent="0.2">
      <c r="A55" t="s">
        <v>78</v>
      </c>
      <c r="B55">
        <v>1</v>
      </c>
      <c r="C55" t="s">
        <v>79</v>
      </c>
      <c r="D55" t="s">
        <v>1058</v>
      </c>
      <c r="E55" t="s">
        <v>1058</v>
      </c>
      <c r="F55" t="s">
        <v>598</v>
      </c>
      <c r="G55">
        <f t="shared" si="3"/>
        <v>-1</v>
      </c>
      <c r="H55">
        <f t="shared" si="4"/>
        <v>0</v>
      </c>
      <c r="I55">
        <f t="shared" si="2"/>
        <v>0.1</v>
      </c>
    </row>
    <row r="56" spans="1:9" x14ac:dyDescent="0.2">
      <c r="A56" t="s">
        <v>80</v>
      </c>
      <c r="B56">
        <v>1</v>
      </c>
      <c r="C56" t="s">
        <v>81</v>
      </c>
      <c r="D56" t="s">
        <v>1058</v>
      </c>
      <c r="E56" t="s">
        <v>1058</v>
      </c>
      <c r="F56" t="s">
        <v>598</v>
      </c>
      <c r="G56">
        <f t="shared" si="3"/>
        <v>-1</v>
      </c>
      <c r="H56">
        <f t="shared" si="4"/>
        <v>0</v>
      </c>
      <c r="I56">
        <f t="shared" si="2"/>
        <v>0.1</v>
      </c>
    </row>
    <row r="57" spans="1:9" x14ac:dyDescent="0.2">
      <c r="A57" t="s">
        <v>82</v>
      </c>
      <c r="B57">
        <v>1</v>
      </c>
      <c r="C57" t="s">
        <v>59</v>
      </c>
      <c r="D57" t="s">
        <v>1058</v>
      </c>
      <c r="E57" t="s">
        <v>1058</v>
      </c>
      <c r="F57" t="s">
        <v>598</v>
      </c>
      <c r="G57">
        <f t="shared" si="3"/>
        <v>-1</v>
      </c>
      <c r="H57">
        <f t="shared" si="4"/>
        <v>0</v>
      </c>
      <c r="I57">
        <f t="shared" si="2"/>
        <v>0.1</v>
      </c>
    </row>
    <row r="58" spans="1:9" x14ac:dyDescent="0.2">
      <c r="A58" t="s">
        <v>83</v>
      </c>
      <c r="B58">
        <v>1</v>
      </c>
      <c r="C58" t="s">
        <v>59</v>
      </c>
      <c r="D58" t="s">
        <v>1058</v>
      </c>
      <c r="E58" t="s">
        <v>1058</v>
      </c>
      <c r="F58" t="s">
        <v>598</v>
      </c>
      <c r="G58">
        <f t="shared" si="3"/>
        <v>-1</v>
      </c>
      <c r="H58">
        <f t="shared" si="4"/>
        <v>0</v>
      </c>
      <c r="I58">
        <f t="shared" si="2"/>
        <v>0.1</v>
      </c>
    </row>
    <row r="59" spans="1:9" x14ac:dyDescent="0.2">
      <c r="A59" t="s">
        <v>84</v>
      </c>
      <c r="B59">
        <v>1</v>
      </c>
      <c r="C59" t="s">
        <v>59</v>
      </c>
      <c r="D59" t="s">
        <v>1058</v>
      </c>
      <c r="E59" t="s">
        <v>1058</v>
      </c>
      <c r="F59" t="s">
        <v>598</v>
      </c>
      <c r="G59">
        <f t="shared" si="3"/>
        <v>-1</v>
      </c>
      <c r="H59">
        <f t="shared" si="4"/>
        <v>0</v>
      </c>
      <c r="I59">
        <f t="shared" si="2"/>
        <v>0.1</v>
      </c>
    </row>
    <row r="60" spans="1:9" x14ac:dyDescent="0.2">
      <c r="A60" t="s">
        <v>85</v>
      </c>
      <c r="B60">
        <v>0</v>
      </c>
      <c r="C60" t="s">
        <v>1077</v>
      </c>
      <c r="D60" t="s">
        <v>1058</v>
      </c>
      <c r="E60" t="s">
        <v>1058</v>
      </c>
      <c r="F60" t="s">
        <v>598</v>
      </c>
      <c r="G60" t="e">
        <f t="shared" si="3"/>
        <v>#DIV/0!</v>
      </c>
      <c r="H60" t="e">
        <f t="shared" si="4"/>
        <v>#DIV/0!</v>
      </c>
      <c r="I60">
        <f t="shared" si="2"/>
        <v>0</v>
      </c>
    </row>
  </sheetData>
  <autoFilter ref="A1:I60" xr:uid="{29B873ED-060B-EA40-9555-0E0C7E29DB9C}">
    <filterColumn colId="4">
      <filters>
        <filter val="yes"/>
      </filters>
    </filterColumn>
  </autoFilter>
  <pageMargins left="0.7" right="0.7" top="0.75" bottom="0.75" header="0.3" footer="0.3"/>
  <pageSetup orientation="portrait" horizontalDpi="0" verticalDpi="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A3E7F-945A-3F4B-81CE-A82CC83FA6C5}">
  <dimension ref="A1:L63"/>
  <sheetViews>
    <sheetView topLeftCell="A27" zoomScale="194" workbookViewId="0">
      <selection activeCell="A42" sqref="A42:XFD42"/>
    </sheetView>
  </sheetViews>
  <sheetFormatPr baseColWidth="10" defaultRowHeight="16" x14ac:dyDescent="0.2"/>
  <cols>
    <col min="2" max="2" width="24.33203125" customWidth="1"/>
    <col min="3" max="3" width="59.5" customWidth="1"/>
  </cols>
  <sheetData>
    <row r="1" spans="1:12" x14ac:dyDescent="0.2">
      <c r="A1" t="s">
        <v>603</v>
      </c>
      <c r="B1" t="s">
        <v>1055</v>
      </c>
      <c r="C1" t="s">
        <v>557</v>
      </c>
      <c r="D1" t="s">
        <v>1076</v>
      </c>
      <c r="E1" t="s">
        <v>1056</v>
      </c>
      <c r="F1" t="s">
        <v>599</v>
      </c>
      <c r="G1" t="s">
        <v>605</v>
      </c>
      <c r="H1" t="s">
        <v>606</v>
      </c>
      <c r="I1" t="s">
        <v>1059</v>
      </c>
    </row>
    <row r="2" spans="1:12" x14ac:dyDescent="0.2">
      <c r="A2" t="s">
        <v>532</v>
      </c>
      <c r="B2">
        <v>2.0080483390000001E-3</v>
      </c>
      <c r="C2" t="s">
        <v>533</v>
      </c>
      <c r="D2" t="s">
        <v>1058</v>
      </c>
      <c r="E2" t="s">
        <v>1057</v>
      </c>
      <c r="F2" t="s">
        <v>598</v>
      </c>
      <c r="G2">
        <f t="shared" ref="G2" si="0">B2*(((B2*(1-B2))/(I2^2))-1)</f>
        <v>11.086791414560999</v>
      </c>
      <c r="H2">
        <f t="shared" ref="H2" si="1">(1 - B2) * ( ((B2 * (1 - B2)) / (I2^2)) - 1 )</f>
        <v>5510.0907615532005</v>
      </c>
      <c r="I2">
        <f>(B2*0.3)</f>
        <v>6.0241450170000002E-4</v>
      </c>
      <c r="L2" t="s">
        <v>1231</v>
      </c>
    </row>
    <row r="3" spans="1:12" x14ac:dyDescent="0.2">
      <c r="A3" t="s">
        <v>20</v>
      </c>
      <c r="B3">
        <v>0.45071972830000001</v>
      </c>
      <c r="C3" t="s">
        <v>21</v>
      </c>
      <c r="D3" t="s">
        <v>1058</v>
      </c>
      <c r="E3" t="s">
        <v>1057</v>
      </c>
      <c r="F3" t="s">
        <v>598</v>
      </c>
      <c r="G3">
        <f>B3*(((B3*(1-B3))/(I3^2))-1)</f>
        <v>5.6523944017000005</v>
      </c>
      <c r="H3">
        <f>(1 - B3) * ( ((B3 * (1 - B3)) / (I3^2)) - 1 )</f>
        <v>6.8884243084536303</v>
      </c>
      <c r="I3">
        <f t="shared" ref="I3:I15" si="2">(B3*0.3)</f>
        <v>0.13521591849</v>
      </c>
      <c r="L3" t="s">
        <v>1232</v>
      </c>
    </row>
    <row r="4" spans="1:12" x14ac:dyDescent="0.2">
      <c r="A4" t="s">
        <v>534</v>
      </c>
      <c r="B4">
        <v>2.9475520000000002E-2</v>
      </c>
      <c r="C4" t="s">
        <v>536</v>
      </c>
      <c r="D4" t="s">
        <v>1058</v>
      </c>
      <c r="E4" t="s">
        <v>1057</v>
      </c>
      <c r="F4" t="s">
        <v>598</v>
      </c>
      <c r="G4">
        <f>B4*(((B4*(1-B4))/(I4^2))-1)</f>
        <v>10.754129813333334</v>
      </c>
      <c r="H4">
        <f>(1 - B4) * ( ((B4 * (1 - B4)) / (I4^2)) - 1 )</f>
        <v>354.0954067964816</v>
      </c>
      <c r="I4">
        <f t="shared" si="2"/>
        <v>8.8426560000000008E-3</v>
      </c>
    </row>
    <row r="5" spans="1:12" x14ac:dyDescent="0.2">
      <c r="A5" t="s">
        <v>26</v>
      </c>
      <c r="B5">
        <v>0.2446468</v>
      </c>
      <c r="C5" t="s">
        <v>1198</v>
      </c>
      <c r="D5" t="s">
        <v>1058</v>
      </c>
      <c r="E5" t="s">
        <v>1057</v>
      </c>
      <c r="F5" t="s">
        <v>598</v>
      </c>
      <c r="G5">
        <f>B5*(((B5*(1-B5))/(I5^2))-1)</f>
        <v>8.1481665333333364</v>
      </c>
      <c r="H5">
        <f>(1 - B5) * ( ((B5 * (1 - B5)) / (I5^2)) - 1 )</f>
        <v>25.157670834387542</v>
      </c>
      <c r="I5">
        <f t="shared" si="2"/>
        <v>7.3394039999999994E-2</v>
      </c>
    </row>
    <row r="6" spans="1:12" x14ac:dyDescent="0.2">
      <c r="A6" t="s">
        <v>1213</v>
      </c>
      <c r="B6">
        <v>8.208682274500001E-3</v>
      </c>
      <c r="C6" t="s">
        <v>1211</v>
      </c>
      <c r="D6" t="s">
        <v>1058</v>
      </c>
      <c r="E6" t="s">
        <v>1057</v>
      </c>
      <c r="F6" t="s">
        <v>598</v>
      </c>
      <c r="G6">
        <f t="shared" ref="G6:G53" si="3">B6*(((B6*(1-B6))/(I6^2))-1)</f>
        <v>11.011694848008837</v>
      </c>
      <c r="H6">
        <f t="shared" ref="H6:H53" si="4">(1 - B6) * ( ((B6 * (1 - B6)) / (I6^2)) - 1 )</f>
        <v>1330.4575543902399</v>
      </c>
      <c r="I6">
        <f t="shared" si="2"/>
        <v>2.46260468235E-3</v>
      </c>
    </row>
    <row r="7" spans="1:12" x14ac:dyDescent="0.2">
      <c r="A7" t="s">
        <v>1208</v>
      </c>
      <c r="B7">
        <f>(B42+B43)/2</f>
        <v>1.0241320030999999E-2</v>
      </c>
      <c r="C7" t="s">
        <v>1212</v>
      </c>
      <c r="D7" t="s">
        <v>1058</v>
      </c>
      <c r="E7" t="s">
        <v>1057</v>
      </c>
      <c r="F7" t="s">
        <v>598</v>
      </c>
      <c r="G7">
        <f t="shared" si="3"/>
        <v>10.987077346291223</v>
      </c>
      <c r="H7">
        <f t="shared" si="4"/>
        <v>1061.8313984980189</v>
      </c>
      <c r="I7">
        <f t="shared" si="2"/>
        <v>3.0723960092999998E-3</v>
      </c>
    </row>
    <row r="8" spans="1:12" x14ac:dyDescent="0.2">
      <c r="A8" t="s">
        <v>1209</v>
      </c>
      <c r="B8">
        <v>3.9460333629987701E-2</v>
      </c>
      <c r="C8" t="s">
        <v>1210</v>
      </c>
      <c r="D8" t="s">
        <v>1057</v>
      </c>
      <c r="E8" t="s">
        <v>1057</v>
      </c>
      <c r="F8" t="s">
        <v>598</v>
      </c>
      <c r="G8">
        <f t="shared" si="3"/>
        <v>10.63320262603682</v>
      </c>
      <c r="H8">
        <f t="shared" si="4"/>
        <v>258.83240113044451</v>
      </c>
      <c r="I8">
        <f t="shared" si="2"/>
        <v>1.1838100088996309E-2</v>
      </c>
    </row>
    <row r="9" spans="1:12" x14ac:dyDescent="0.2">
      <c r="A9" t="s">
        <v>40</v>
      </c>
      <c r="B9">
        <v>6.9670999999999997E-2</v>
      </c>
      <c r="C9" t="s">
        <v>41</v>
      </c>
      <c r="D9" t="s">
        <v>1058</v>
      </c>
      <c r="E9" t="s">
        <v>1057</v>
      </c>
      <c r="F9" t="s">
        <v>598</v>
      </c>
      <c r="G9">
        <f t="shared" si="3"/>
        <v>10.26731788888889</v>
      </c>
      <c r="H9">
        <f t="shared" si="4"/>
        <v>137.10128438305912</v>
      </c>
      <c r="I9">
        <f t="shared" si="2"/>
        <v>2.0901299999999998E-2</v>
      </c>
    </row>
    <row r="10" spans="1:12" x14ac:dyDescent="0.2">
      <c r="A10" t="s">
        <v>50</v>
      </c>
      <c r="B10">
        <v>0.260602</v>
      </c>
      <c r="C10" t="s">
        <v>1199</v>
      </c>
      <c r="D10" t="s">
        <v>1058</v>
      </c>
      <c r="E10" t="s">
        <v>1057</v>
      </c>
      <c r="F10" t="s">
        <v>598</v>
      </c>
      <c r="G10">
        <f t="shared" si="3"/>
        <v>7.9549313333333318</v>
      </c>
      <c r="H10">
        <f t="shared" si="4"/>
        <v>22.570280803692985</v>
      </c>
      <c r="I10">
        <f t="shared" si="2"/>
        <v>7.8180600000000003E-2</v>
      </c>
    </row>
    <row r="11" spans="1:12" x14ac:dyDescent="0.2">
      <c r="A11" t="s">
        <v>52</v>
      </c>
      <c r="B11">
        <v>0.58463297332395703</v>
      </c>
      <c r="C11" t="s">
        <v>53</v>
      </c>
      <c r="D11" t="s">
        <v>1058</v>
      </c>
      <c r="E11" t="s">
        <v>1057</v>
      </c>
      <c r="F11" t="s">
        <v>598</v>
      </c>
      <c r="G11">
        <f t="shared" si="3"/>
        <v>4.0305562119654095</v>
      </c>
      <c r="H11">
        <f t="shared" si="4"/>
        <v>2.8636088383729268</v>
      </c>
      <c r="I11">
        <f t="shared" si="2"/>
        <v>0.1753898919971871</v>
      </c>
    </row>
    <row r="12" spans="1:12" x14ac:dyDescent="0.2">
      <c r="A12" t="s">
        <v>63</v>
      </c>
      <c r="B12">
        <v>0.260602</v>
      </c>
      <c r="C12" t="s">
        <v>1200</v>
      </c>
      <c r="D12" t="s">
        <v>1058</v>
      </c>
      <c r="E12" t="s">
        <v>1057</v>
      </c>
      <c r="F12" t="s">
        <v>598</v>
      </c>
      <c r="G12">
        <f t="shared" si="3"/>
        <v>7.9549313333333318</v>
      </c>
      <c r="H12">
        <f t="shared" si="4"/>
        <v>22.570280803692985</v>
      </c>
      <c r="I12">
        <f t="shared" si="2"/>
        <v>7.8180600000000003E-2</v>
      </c>
    </row>
    <row r="13" spans="1:12" x14ac:dyDescent="0.2">
      <c r="A13" t="s">
        <v>65</v>
      </c>
      <c r="B13">
        <v>0.58463297332395703</v>
      </c>
      <c r="C13" t="s">
        <v>66</v>
      </c>
      <c r="D13" t="s">
        <v>1058</v>
      </c>
      <c r="E13" t="s">
        <v>1057</v>
      </c>
      <c r="F13" t="s">
        <v>598</v>
      </c>
      <c r="G13">
        <f t="shared" si="3"/>
        <v>4.0305562119654095</v>
      </c>
      <c r="H13">
        <f t="shared" si="4"/>
        <v>2.8636088383729268</v>
      </c>
      <c r="I13">
        <f t="shared" si="2"/>
        <v>0.1753898919971871</v>
      </c>
    </row>
    <row r="14" spans="1:12" x14ac:dyDescent="0.2">
      <c r="A14" t="s">
        <v>74</v>
      </c>
      <c r="B14">
        <v>0.38729024270000001</v>
      </c>
      <c r="C14" t="s">
        <v>75</v>
      </c>
      <c r="D14" t="s">
        <v>1058</v>
      </c>
      <c r="E14" t="s">
        <v>1057</v>
      </c>
      <c r="F14" t="s">
        <v>598</v>
      </c>
      <c r="G14">
        <f t="shared" si="3"/>
        <v>6.4205959495222213</v>
      </c>
      <c r="H14">
        <f t="shared" si="4"/>
        <v>10.157657880889142</v>
      </c>
      <c r="I14">
        <f t="shared" si="2"/>
        <v>0.11618707281</v>
      </c>
    </row>
    <row r="15" spans="1:12" x14ac:dyDescent="0.2">
      <c r="A15" t="s">
        <v>76</v>
      </c>
      <c r="B15">
        <v>0.99782300000000002</v>
      </c>
      <c r="C15" t="s">
        <v>77</v>
      </c>
      <c r="D15" t="s">
        <v>1058</v>
      </c>
      <c r="E15" t="s">
        <v>1057</v>
      </c>
      <c r="F15" t="s">
        <v>598</v>
      </c>
      <c r="G15">
        <f t="shared" si="3"/>
        <v>-0.97363411111111131</v>
      </c>
      <c r="H15">
        <f t="shared" si="4"/>
        <v>-2.1242258996724611E-3</v>
      </c>
      <c r="I15">
        <f t="shared" si="2"/>
        <v>0.29934689999999997</v>
      </c>
    </row>
    <row r="16" spans="1:12" x14ac:dyDescent="0.2">
      <c r="A16" t="s">
        <v>42</v>
      </c>
      <c r="B16">
        <v>1</v>
      </c>
      <c r="C16" t="s">
        <v>43</v>
      </c>
      <c r="D16" t="s">
        <v>1058</v>
      </c>
      <c r="E16" t="s">
        <v>1058</v>
      </c>
      <c r="F16" t="s">
        <v>598</v>
      </c>
      <c r="G16">
        <f t="shared" si="3"/>
        <v>-1</v>
      </c>
      <c r="H16">
        <f t="shared" si="4"/>
        <v>0</v>
      </c>
      <c r="I16">
        <f t="shared" ref="I16:I63" si="5">(B16*0.1)</f>
        <v>0.1</v>
      </c>
    </row>
    <row r="17" spans="1:9" x14ac:dyDescent="0.2">
      <c r="A17" t="s">
        <v>44</v>
      </c>
      <c r="B17">
        <v>1</v>
      </c>
      <c r="C17" t="s">
        <v>45</v>
      </c>
      <c r="D17" t="s">
        <v>1058</v>
      </c>
      <c r="E17" t="s">
        <v>1058</v>
      </c>
      <c r="F17" t="s">
        <v>598</v>
      </c>
      <c r="G17">
        <f t="shared" si="3"/>
        <v>-1</v>
      </c>
      <c r="H17">
        <f t="shared" si="4"/>
        <v>0</v>
      </c>
      <c r="I17">
        <f t="shared" si="5"/>
        <v>0.1</v>
      </c>
    </row>
    <row r="18" spans="1:9" x14ac:dyDescent="0.2">
      <c r="A18" t="s">
        <v>46</v>
      </c>
      <c r="B18">
        <v>1</v>
      </c>
      <c r="C18" t="s">
        <v>45</v>
      </c>
      <c r="D18" t="s">
        <v>1058</v>
      </c>
      <c r="E18" t="s">
        <v>1058</v>
      </c>
      <c r="F18" t="s">
        <v>598</v>
      </c>
      <c r="G18">
        <f t="shared" si="3"/>
        <v>-1</v>
      </c>
      <c r="H18">
        <f t="shared" si="4"/>
        <v>0</v>
      </c>
      <c r="I18">
        <f t="shared" si="5"/>
        <v>0.1</v>
      </c>
    </row>
    <row r="19" spans="1:9" x14ac:dyDescent="0.2">
      <c r="A19" t="s">
        <v>47</v>
      </c>
      <c r="B19">
        <v>1</v>
      </c>
      <c r="C19" t="s">
        <v>45</v>
      </c>
      <c r="D19" t="s">
        <v>1058</v>
      </c>
      <c r="E19" t="s">
        <v>1058</v>
      </c>
      <c r="F19" t="s">
        <v>598</v>
      </c>
      <c r="G19">
        <f t="shared" si="3"/>
        <v>-1</v>
      </c>
      <c r="H19">
        <f t="shared" si="4"/>
        <v>0</v>
      </c>
      <c r="I19">
        <f t="shared" si="5"/>
        <v>0.1</v>
      </c>
    </row>
    <row r="20" spans="1:9" x14ac:dyDescent="0.2">
      <c r="A20" t="s">
        <v>48</v>
      </c>
      <c r="B20">
        <v>1</v>
      </c>
      <c r="C20" t="s">
        <v>45</v>
      </c>
      <c r="D20" t="s">
        <v>1058</v>
      </c>
      <c r="E20" t="s">
        <v>1058</v>
      </c>
      <c r="F20" t="s">
        <v>598</v>
      </c>
      <c r="G20">
        <f t="shared" si="3"/>
        <v>-1</v>
      </c>
      <c r="H20">
        <f t="shared" si="4"/>
        <v>0</v>
      </c>
      <c r="I20">
        <f t="shared" si="5"/>
        <v>0.1</v>
      </c>
    </row>
    <row r="21" spans="1:9" x14ac:dyDescent="0.2">
      <c r="A21" t="s">
        <v>49</v>
      </c>
      <c r="B21">
        <v>0</v>
      </c>
      <c r="C21" t="s">
        <v>1078</v>
      </c>
      <c r="D21" t="s">
        <v>1058</v>
      </c>
      <c r="E21" t="s">
        <v>1058</v>
      </c>
      <c r="F21" t="s">
        <v>598</v>
      </c>
      <c r="G21" t="e">
        <f t="shared" si="3"/>
        <v>#DIV/0!</v>
      </c>
      <c r="H21" t="e">
        <f t="shared" si="4"/>
        <v>#DIV/0!</v>
      </c>
      <c r="I21">
        <f t="shared" si="5"/>
        <v>0</v>
      </c>
    </row>
    <row r="22" spans="1:9" x14ac:dyDescent="0.2">
      <c r="A22" t="s">
        <v>54</v>
      </c>
      <c r="B22">
        <v>1</v>
      </c>
      <c r="C22" t="s">
        <v>55</v>
      </c>
      <c r="D22" t="s">
        <v>1058</v>
      </c>
      <c r="E22" t="s">
        <v>1058</v>
      </c>
      <c r="F22" t="s">
        <v>598</v>
      </c>
      <c r="G22">
        <f t="shared" si="3"/>
        <v>-1</v>
      </c>
      <c r="H22">
        <f t="shared" si="4"/>
        <v>0</v>
      </c>
      <c r="I22">
        <f t="shared" si="5"/>
        <v>0.1</v>
      </c>
    </row>
    <row r="23" spans="1:9" x14ac:dyDescent="0.2">
      <c r="A23" t="s">
        <v>56</v>
      </c>
      <c r="B23">
        <v>1</v>
      </c>
      <c r="C23" t="s">
        <v>57</v>
      </c>
      <c r="D23" t="s">
        <v>1058</v>
      </c>
      <c r="E23" t="s">
        <v>1058</v>
      </c>
      <c r="F23" t="s">
        <v>598</v>
      </c>
      <c r="G23">
        <f t="shared" si="3"/>
        <v>-1</v>
      </c>
      <c r="H23">
        <f t="shared" si="4"/>
        <v>0</v>
      </c>
      <c r="I23">
        <f t="shared" si="5"/>
        <v>0.1</v>
      </c>
    </row>
    <row r="24" spans="1:9" x14ac:dyDescent="0.2">
      <c r="A24" t="s">
        <v>58</v>
      </c>
      <c r="B24">
        <v>1</v>
      </c>
      <c r="C24" t="s">
        <v>59</v>
      </c>
      <c r="D24" t="s">
        <v>1058</v>
      </c>
      <c r="E24" t="s">
        <v>1058</v>
      </c>
      <c r="F24" t="s">
        <v>598</v>
      </c>
      <c r="G24">
        <f t="shared" si="3"/>
        <v>-1</v>
      </c>
      <c r="H24">
        <f t="shared" si="4"/>
        <v>0</v>
      </c>
      <c r="I24">
        <f t="shared" si="5"/>
        <v>0.1</v>
      </c>
    </row>
    <row r="25" spans="1:9" x14ac:dyDescent="0.2">
      <c r="A25" t="s">
        <v>60</v>
      </c>
      <c r="B25">
        <v>1</v>
      </c>
      <c r="C25" t="s">
        <v>59</v>
      </c>
      <c r="D25" t="s">
        <v>1058</v>
      </c>
      <c r="E25" t="s">
        <v>1058</v>
      </c>
      <c r="F25" t="s">
        <v>598</v>
      </c>
      <c r="G25">
        <f t="shared" si="3"/>
        <v>-1</v>
      </c>
      <c r="H25">
        <f t="shared" si="4"/>
        <v>0</v>
      </c>
      <c r="I25">
        <f t="shared" si="5"/>
        <v>0.1</v>
      </c>
    </row>
    <row r="26" spans="1:9" x14ac:dyDescent="0.2">
      <c r="A26" t="s">
        <v>61</v>
      </c>
      <c r="B26">
        <v>1</v>
      </c>
      <c r="C26" t="s">
        <v>59</v>
      </c>
      <c r="D26" t="s">
        <v>1058</v>
      </c>
      <c r="E26" t="s">
        <v>1058</v>
      </c>
      <c r="F26" t="s">
        <v>598</v>
      </c>
      <c r="G26">
        <f t="shared" si="3"/>
        <v>-1</v>
      </c>
      <c r="H26">
        <f t="shared" si="4"/>
        <v>0</v>
      </c>
      <c r="I26">
        <f t="shared" si="5"/>
        <v>0.1</v>
      </c>
    </row>
    <row r="27" spans="1:9" x14ac:dyDescent="0.2">
      <c r="A27" t="s">
        <v>62</v>
      </c>
      <c r="B27">
        <v>0</v>
      </c>
      <c r="C27" t="s">
        <v>1079</v>
      </c>
      <c r="D27" t="s">
        <v>1058</v>
      </c>
      <c r="E27" t="s">
        <v>1058</v>
      </c>
      <c r="F27" t="s">
        <v>598</v>
      </c>
      <c r="G27" t="e">
        <f t="shared" si="3"/>
        <v>#DIV/0!</v>
      </c>
      <c r="H27" t="e">
        <f t="shared" si="4"/>
        <v>#DIV/0!</v>
      </c>
      <c r="I27">
        <f t="shared" si="5"/>
        <v>0</v>
      </c>
    </row>
    <row r="28" spans="1:9" x14ac:dyDescent="0.2">
      <c r="A28" t="s">
        <v>67</v>
      </c>
      <c r="B28">
        <v>1</v>
      </c>
      <c r="C28" t="s">
        <v>68</v>
      </c>
      <c r="D28" t="s">
        <v>1058</v>
      </c>
      <c r="E28" t="s">
        <v>1058</v>
      </c>
      <c r="F28" t="s">
        <v>598</v>
      </c>
      <c r="G28">
        <f t="shared" si="3"/>
        <v>-1</v>
      </c>
      <c r="H28">
        <f t="shared" si="4"/>
        <v>0</v>
      </c>
      <c r="I28">
        <f t="shared" si="5"/>
        <v>0.1</v>
      </c>
    </row>
    <row r="29" spans="1:9" x14ac:dyDescent="0.2">
      <c r="A29" t="s">
        <v>69</v>
      </c>
      <c r="B29">
        <v>1</v>
      </c>
      <c r="C29" t="s">
        <v>59</v>
      </c>
      <c r="D29" t="s">
        <v>1058</v>
      </c>
      <c r="E29" t="s">
        <v>1058</v>
      </c>
      <c r="F29" t="s">
        <v>598</v>
      </c>
      <c r="G29">
        <f t="shared" si="3"/>
        <v>-1</v>
      </c>
      <c r="H29">
        <f t="shared" si="4"/>
        <v>0</v>
      </c>
      <c r="I29">
        <f t="shared" si="5"/>
        <v>0.1</v>
      </c>
    </row>
    <row r="30" spans="1:9" x14ac:dyDescent="0.2">
      <c r="A30" t="s">
        <v>70</v>
      </c>
      <c r="B30">
        <v>1</v>
      </c>
      <c r="C30" t="s">
        <v>59</v>
      </c>
      <c r="D30" t="s">
        <v>1058</v>
      </c>
      <c r="E30" t="s">
        <v>1058</v>
      </c>
      <c r="F30" t="s">
        <v>598</v>
      </c>
      <c r="G30">
        <f t="shared" si="3"/>
        <v>-1</v>
      </c>
      <c r="H30">
        <f t="shared" si="4"/>
        <v>0</v>
      </c>
      <c r="I30">
        <f t="shared" si="5"/>
        <v>0.1</v>
      </c>
    </row>
    <row r="31" spans="1:9" x14ac:dyDescent="0.2">
      <c r="A31" t="s">
        <v>71</v>
      </c>
      <c r="B31">
        <v>1</v>
      </c>
      <c r="C31" t="s">
        <v>59</v>
      </c>
      <c r="D31" t="s">
        <v>1058</v>
      </c>
      <c r="E31" t="s">
        <v>1058</v>
      </c>
      <c r="F31" t="s">
        <v>598</v>
      </c>
      <c r="G31">
        <f t="shared" si="3"/>
        <v>-1</v>
      </c>
      <c r="H31">
        <f t="shared" si="4"/>
        <v>0</v>
      </c>
      <c r="I31">
        <f t="shared" si="5"/>
        <v>0.1</v>
      </c>
    </row>
    <row r="32" spans="1:9" x14ac:dyDescent="0.2">
      <c r="A32" t="s">
        <v>72</v>
      </c>
      <c r="B32">
        <v>1</v>
      </c>
      <c r="C32" t="s">
        <v>59</v>
      </c>
      <c r="D32" t="s">
        <v>1058</v>
      </c>
      <c r="E32" t="s">
        <v>1058</v>
      </c>
      <c r="F32" t="s">
        <v>598</v>
      </c>
      <c r="G32">
        <f t="shared" si="3"/>
        <v>-1</v>
      </c>
      <c r="H32">
        <f t="shared" si="4"/>
        <v>0</v>
      </c>
      <c r="I32">
        <f t="shared" si="5"/>
        <v>0.1</v>
      </c>
    </row>
    <row r="33" spans="1:9" x14ac:dyDescent="0.2">
      <c r="A33" t="s">
        <v>73</v>
      </c>
      <c r="B33">
        <v>0</v>
      </c>
      <c r="C33" t="s">
        <v>1078</v>
      </c>
      <c r="D33" t="s">
        <v>1058</v>
      </c>
      <c r="E33" t="s">
        <v>1058</v>
      </c>
      <c r="F33" t="s">
        <v>598</v>
      </c>
      <c r="G33" t="e">
        <f t="shared" si="3"/>
        <v>#DIV/0!</v>
      </c>
      <c r="H33" t="e">
        <f t="shared" si="4"/>
        <v>#DIV/0!</v>
      </c>
      <c r="I33">
        <f t="shared" si="5"/>
        <v>0</v>
      </c>
    </row>
    <row r="34" spans="1:9" x14ac:dyDescent="0.2">
      <c r="A34" t="s">
        <v>85</v>
      </c>
      <c r="B34">
        <v>0</v>
      </c>
      <c r="C34" t="s">
        <v>1077</v>
      </c>
      <c r="D34" t="s">
        <v>1058</v>
      </c>
      <c r="E34" t="s">
        <v>1058</v>
      </c>
      <c r="F34" t="s">
        <v>598</v>
      </c>
      <c r="G34" t="e">
        <f t="shared" si="3"/>
        <v>#DIV/0!</v>
      </c>
      <c r="H34" t="e">
        <f t="shared" si="4"/>
        <v>#DIV/0!</v>
      </c>
      <c r="I34">
        <f t="shared" si="5"/>
        <v>0</v>
      </c>
    </row>
    <row r="35" spans="1:9" x14ac:dyDescent="0.2">
      <c r="A35" t="s">
        <v>78</v>
      </c>
      <c r="B35">
        <v>1</v>
      </c>
      <c r="C35" t="s">
        <v>79</v>
      </c>
      <c r="D35" t="s">
        <v>1058</v>
      </c>
      <c r="E35" t="s">
        <v>1058</v>
      </c>
      <c r="F35" t="s">
        <v>598</v>
      </c>
      <c r="G35">
        <f t="shared" si="3"/>
        <v>-1</v>
      </c>
      <c r="H35">
        <f t="shared" si="4"/>
        <v>0</v>
      </c>
      <c r="I35">
        <f t="shared" si="5"/>
        <v>0.1</v>
      </c>
    </row>
    <row r="36" spans="1:9" x14ac:dyDescent="0.2">
      <c r="A36" t="s">
        <v>80</v>
      </c>
      <c r="B36">
        <v>1</v>
      </c>
      <c r="C36" t="s">
        <v>81</v>
      </c>
      <c r="D36" t="s">
        <v>1058</v>
      </c>
      <c r="E36" t="s">
        <v>1058</v>
      </c>
      <c r="F36" t="s">
        <v>598</v>
      </c>
      <c r="G36">
        <f t="shared" si="3"/>
        <v>-1</v>
      </c>
      <c r="H36">
        <f t="shared" si="4"/>
        <v>0</v>
      </c>
      <c r="I36">
        <f t="shared" si="5"/>
        <v>0.1</v>
      </c>
    </row>
    <row r="37" spans="1:9" x14ac:dyDescent="0.2">
      <c r="A37" t="s">
        <v>82</v>
      </c>
      <c r="B37">
        <v>1</v>
      </c>
      <c r="C37" t="s">
        <v>59</v>
      </c>
      <c r="D37" t="s">
        <v>1058</v>
      </c>
      <c r="E37" t="s">
        <v>1058</v>
      </c>
      <c r="F37" t="s">
        <v>598</v>
      </c>
      <c r="G37">
        <f t="shared" si="3"/>
        <v>-1</v>
      </c>
      <c r="H37">
        <f t="shared" si="4"/>
        <v>0</v>
      </c>
      <c r="I37">
        <f t="shared" si="5"/>
        <v>0.1</v>
      </c>
    </row>
    <row r="38" spans="1:9" x14ac:dyDescent="0.2">
      <c r="A38" t="s">
        <v>83</v>
      </c>
      <c r="B38">
        <v>1</v>
      </c>
      <c r="C38" t="s">
        <v>59</v>
      </c>
      <c r="D38" t="s">
        <v>1058</v>
      </c>
      <c r="E38" t="s">
        <v>1058</v>
      </c>
      <c r="F38" t="s">
        <v>598</v>
      </c>
      <c r="G38">
        <f t="shared" si="3"/>
        <v>-1</v>
      </c>
      <c r="H38">
        <f t="shared" si="4"/>
        <v>0</v>
      </c>
      <c r="I38">
        <f t="shared" si="5"/>
        <v>0.1</v>
      </c>
    </row>
    <row r="39" spans="1:9" x14ac:dyDescent="0.2">
      <c r="A39" t="s">
        <v>84</v>
      </c>
      <c r="B39">
        <v>1</v>
      </c>
      <c r="C39" t="s">
        <v>59</v>
      </c>
      <c r="D39" t="s">
        <v>1058</v>
      </c>
      <c r="E39" t="s">
        <v>1058</v>
      </c>
      <c r="F39" t="s">
        <v>598</v>
      </c>
      <c r="G39">
        <f t="shared" si="3"/>
        <v>-1</v>
      </c>
      <c r="H39">
        <f t="shared" si="4"/>
        <v>0</v>
      </c>
      <c r="I39">
        <f t="shared" si="5"/>
        <v>0.1</v>
      </c>
    </row>
    <row r="40" spans="1:9" x14ac:dyDescent="0.2">
      <c r="A40" t="s">
        <v>537</v>
      </c>
      <c r="B40">
        <v>2.0080483390000001E-3</v>
      </c>
      <c r="C40" t="s">
        <v>538</v>
      </c>
      <c r="D40" t="s">
        <v>1058</v>
      </c>
      <c r="E40" t="s">
        <v>1058</v>
      </c>
      <c r="F40" t="s">
        <v>598</v>
      </c>
      <c r="G40">
        <f t="shared" si="3"/>
        <v>99.797187117760984</v>
      </c>
      <c r="H40">
        <f t="shared" si="4"/>
        <v>49598.800789592089</v>
      </c>
      <c r="I40">
        <f t="shared" si="5"/>
        <v>2.0080483390000001E-4</v>
      </c>
    </row>
    <row r="41" spans="1:9" x14ac:dyDescent="0.2">
      <c r="A41" t="s">
        <v>27</v>
      </c>
      <c r="B41">
        <v>1.440931621E-2</v>
      </c>
      <c r="C41" t="s">
        <v>28</v>
      </c>
      <c r="D41" t="s">
        <v>1058</v>
      </c>
      <c r="E41" t="s">
        <v>1058</v>
      </c>
      <c r="F41" t="s">
        <v>598</v>
      </c>
      <c r="G41">
        <f t="shared" si="3"/>
        <v>98.544659062790004</v>
      </c>
      <c r="H41">
        <f t="shared" si="4"/>
        <v>6740.4099191149353</v>
      </c>
      <c r="I41">
        <f t="shared" si="5"/>
        <v>1.440931621E-3</v>
      </c>
    </row>
    <row r="42" spans="1:9" x14ac:dyDescent="0.2">
      <c r="A42" t="s">
        <v>539</v>
      </c>
      <c r="B42">
        <v>6.0733238520000003E-3</v>
      </c>
      <c r="C42" t="s">
        <v>1197</v>
      </c>
      <c r="D42" t="s">
        <v>1058</v>
      </c>
      <c r="E42" t="s">
        <v>1058</v>
      </c>
      <c r="F42" t="s">
        <v>598</v>
      </c>
      <c r="G42">
        <f t="shared" si="3"/>
        <v>99.386594290947997</v>
      </c>
      <c r="H42">
        <f t="shared" si="4"/>
        <v>16265.061723119146</v>
      </c>
      <c r="I42">
        <f t="shared" si="5"/>
        <v>6.0733238520000008E-4</v>
      </c>
    </row>
    <row r="43" spans="1:9" x14ac:dyDescent="0.2">
      <c r="A43" t="s">
        <v>29</v>
      </c>
      <c r="B43" t="s">
        <v>436</v>
      </c>
      <c r="C43" t="s">
        <v>30</v>
      </c>
      <c r="D43" t="s">
        <v>1058</v>
      </c>
      <c r="E43" t="s">
        <v>1058</v>
      </c>
      <c r="F43" t="s">
        <v>598</v>
      </c>
      <c r="G43">
        <f t="shared" si="3"/>
        <v>98.544659062790004</v>
      </c>
      <c r="H43">
        <f t="shared" si="4"/>
        <v>6740.4099191149353</v>
      </c>
      <c r="I43">
        <f t="shared" si="5"/>
        <v>1.440931621E-3</v>
      </c>
    </row>
    <row r="44" spans="1:9" x14ac:dyDescent="0.2">
      <c r="A44" t="s">
        <v>38</v>
      </c>
      <c r="B44">
        <v>3.9460333629987701E-2</v>
      </c>
      <c r="C44" t="s">
        <v>1195</v>
      </c>
      <c r="D44" t="s">
        <v>1058</v>
      </c>
      <c r="E44" t="s">
        <v>1058</v>
      </c>
      <c r="F44" t="s">
        <v>598</v>
      </c>
      <c r="G44">
        <f t="shared" si="3"/>
        <v>96.01450630337122</v>
      </c>
      <c r="H44">
        <f t="shared" si="4"/>
        <v>2337.1759275049594</v>
      </c>
      <c r="I44">
        <f t="shared" si="5"/>
        <v>3.9460333629987706E-3</v>
      </c>
    </row>
    <row r="45" spans="1:9" x14ac:dyDescent="0.2">
      <c r="A45" t="s">
        <v>39</v>
      </c>
      <c r="B45">
        <v>3.9460333629987701E-2</v>
      </c>
      <c r="C45" t="s">
        <v>1194</v>
      </c>
      <c r="D45" t="s">
        <v>1058</v>
      </c>
      <c r="E45" t="s">
        <v>1058</v>
      </c>
      <c r="F45" t="s">
        <v>598</v>
      </c>
      <c r="G45">
        <f t="shared" si="3"/>
        <v>96.01450630337122</v>
      </c>
      <c r="H45">
        <f t="shared" si="4"/>
        <v>2337.1759275049594</v>
      </c>
      <c r="I45">
        <f t="shared" si="5"/>
        <v>3.9460333629987706E-3</v>
      </c>
    </row>
    <row r="46" spans="1:9" x14ac:dyDescent="0.2">
      <c r="A46" t="s">
        <v>541</v>
      </c>
      <c r="B46">
        <v>0.28316730000000001</v>
      </c>
      <c r="C46" t="s">
        <v>542</v>
      </c>
      <c r="D46" t="s">
        <v>1058</v>
      </c>
      <c r="E46" t="s">
        <v>1058</v>
      </c>
      <c r="F46" t="s">
        <v>598</v>
      </c>
      <c r="G46">
        <f t="shared" si="3"/>
        <v>71.400102699999991</v>
      </c>
      <c r="H46">
        <f t="shared" si="4"/>
        <v>180.74801856965223</v>
      </c>
      <c r="I46">
        <f t="shared" si="5"/>
        <v>2.8316730000000002E-2</v>
      </c>
    </row>
    <row r="47" spans="1:9" x14ac:dyDescent="0.2">
      <c r="A47" t="s">
        <v>31</v>
      </c>
      <c r="B47">
        <v>0.28316730000000001</v>
      </c>
      <c r="C47" t="s">
        <v>1196</v>
      </c>
      <c r="D47" t="s">
        <v>1058</v>
      </c>
      <c r="E47" t="s">
        <v>1058</v>
      </c>
      <c r="F47" t="s">
        <v>598</v>
      </c>
      <c r="G47">
        <f t="shared" si="3"/>
        <v>71.400102699999991</v>
      </c>
      <c r="H47">
        <f t="shared" si="4"/>
        <v>180.74801856965223</v>
      </c>
      <c r="I47">
        <f t="shared" si="5"/>
        <v>2.8316730000000002E-2</v>
      </c>
    </row>
    <row r="48" spans="1:9" x14ac:dyDescent="0.2">
      <c r="A48" t="s">
        <v>543</v>
      </c>
      <c r="B48">
        <v>6.8850084909999998E-2</v>
      </c>
      <c r="C48" t="s">
        <v>545</v>
      </c>
      <c r="D48" t="s">
        <v>1058</v>
      </c>
      <c r="E48" t="s">
        <v>1058</v>
      </c>
      <c r="F48" t="s">
        <v>598</v>
      </c>
      <c r="G48">
        <f t="shared" si="3"/>
        <v>93.046141424089996</v>
      </c>
      <c r="H48">
        <f t="shared" si="4"/>
        <v>1258.3848923316243</v>
      </c>
      <c r="I48">
        <f t="shared" si="5"/>
        <v>6.885008491E-3</v>
      </c>
    </row>
    <row r="49" spans="1:9" x14ac:dyDescent="0.2">
      <c r="A49" t="s">
        <v>32</v>
      </c>
      <c r="B49" t="s">
        <v>437</v>
      </c>
      <c r="C49" t="s">
        <v>33</v>
      </c>
      <c r="D49" t="s">
        <v>1058</v>
      </c>
      <c r="E49" t="s">
        <v>1058</v>
      </c>
      <c r="F49" t="s">
        <v>598</v>
      </c>
      <c r="G49">
        <f t="shared" si="3"/>
        <v>97.893984598359992</v>
      </c>
      <c r="H49">
        <f t="shared" si="4"/>
        <v>4596.8924052518332</v>
      </c>
      <c r="I49">
        <f t="shared" si="5"/>
        <v>2.0851637640000001E-3</v>
      </c>
    </row>
    <row r="50" spans="1:9" x14ac:dyDescent="0.2">
      <c r="A50" t="s">
        <v>0</v>
      </c>
      <c r="B50">
        <v>4.4316130000000002E-2</v>
      </c>
      <c r="C50" t="s">
        <v>1</v>
      </c>
      <c r="D50" t="s">
        <v>1058</v>
      </c>
      <c r="E50" t="s">
        <v>1058</v>
      </c>
      <c r="F50" t="s">
        <v>598</v>
      </c>
      <c r="G50">
        <f t="shared" si="3"/>
        <v>95.524070870000003</v>
      </c>
      <c r="H50">
        <f t="shared" si="4"/>
        <v>2059.9906563861932</v>
      </c>
      <c r="I50">
        <f t="shared" si="5"/>
        <v>4.431613E-3</v>
      </c>
    </row>
    <row r="51" spans="1:9" x14ac:dyDescent="0.2">
      <c r="A51" t="s">
        <v>34</v>
      </c>
      <c r="B51">
        <v>5.3392930000000002E-3</v>
      </c>
      <c r="C51" t="s">
        <v>35</v>
      </c>
      <c r="D51" t="s">
        <v>1058</v>
      </c>
      <c r="E51" t="s">
        <v>1058</v>
      </c>
      <c r="F51" t="s">
        <v>598</v>
      </c>
      <c r="G51">
        <f t="shared" si="3"/>
        <v>99.460731406999983</v>
      </c>
      <c r="H51">
        <f t="shared" si="4"/>
        <v>18528.610701833313</v>
      </c>
      <c r="I51">
        <f t="shared" si="5"/>
        <v>5.3392930000000004E-4</v>
      </c>
    </row>
    <row r="52" spans="1:9" x14ac:dyDescent="0.2">
      <c r="A52" t="s">
        <v>2</v>
      </c>
      <c r="B52" t="s">
        <v>434</v>
      </c>
      <c r="C52" t="s">
        <v>3</v>
      </c>
      <c r="D52" t="s">
        <v>1058</v>
      </c>
      <c r="E52" t="s">
        <v>1058</v>
      </c>
      <c r="F52" t="s">
        <v>598</v>
      </c>
      <c r="G52">
        <f t="shared" si="3"/>
        <v>95.591602478789994</v>
      </c>
      <c r="H52">
        <f t="shared" si="4"/>
        <v>2094.4903499554339</v>
      </c>
      <c r="I52">
        <f t="shared" si="5"/>
        <v>4.3647500210000001E-3</v>
      </c>
    </row>
    <row r="53" spans="1:9" x14ac:dyDescent="0.2">
      <c r="A53" t="s">
        <v>36</v>
      </c>
      <c r="B53" t="s">
        <v>437</v>
      </c>
      <c r="C53" t="s">
        <v>37</v>
      </c>
      <c r="D53" t="s">
        <v>1058</v>
      </c>
      <c r="E53" t="s">
        <v>1058</v>
      </c>
      <c r="F53" t="s">
        <v>598</v>
      </c>
      <c r="G53">
        <f t="shared" si="3"/>
        <v>97.893984598359992</v>
      </c>
      <c r="H53">
        <f t="shared" si="4"/>
        <v>4596.8924052518332</v>
      </c>
      <c r="I53">
        <f t="shared" si="5"/>
        <v>2.0851637640000001E-3</v>
      </c>
    </row>
    <row r="54" spans="1:9" x14ac:dyDescent="0.2">
      <c r="A54" t="s">
        <v>4</v>
      </c>
      <c r="B54">
        <v>0</v>
      </c>
      <c r="C54" t="s">
        <v>5</v>
      </c>
      <c r="D54" t="s">
        <v>1058</v>
      </c>
      <c r="E54" t="s">
        <v>1058</v>
      </c>
      <c r="F54" t="s">
        <v>598</v>
      </c>
      <c r="G54">
        <v>0</v>
      </c>
      <c r="H54">
        <v>0</v>
      </c>
      <c r="I54">
        <f t="shared" si="5"/>
        <v>0</v>
      </c>
    </row>
    <row r="55" spans="1:9" x14ac:dyDescent="0.2">
      <c r="A55" t="s">
        <v>6</v>
      </c>
      <c r="B55">
        <v>0</v>
      </c>
      <c r="C55" t="s">
        <v>7</v>
      </c>
      <c r="D55" t="s">
        <v>1058</v>
      </c>
      <c r="E55" t="s">
        <v>1058</v>
      </c>
      <c r="F55" t="s">
        <v>598</v>
      </c>
      <c r="G55">
        <v>0</v>
      </c>
      <c r="H55">
        <v>0</v>
      </c>
      <c r="I55">
        <f t="shared" si="5"/>
        <v>0</v>
      </c>
    </row>
    <row r="56" spans="1:9" x14ac:dyDescent="0.2">
      <c r="A56" t="s">
        <v>8</v>
      </c>
      <c r="B56">
        <v>0</v>
      </c>
      <c r="C56" t="s">
        <v>9</v>
      </c>
      <c r="D56" t="s">
        <v>1058</v>
      </c>
      <c r="E56" t="s">
        <v>1058</v>
      </c>
      <c r="F56" t="s">
        <v>598</v>
      </c>
      <c r="G56">
        <v>0</v>
      </c>
      <c r="H56">
        <v>0</v>
      </c>
      <c r="I56">
        <f t="shared" si="5"/>
        <v>0</v>
      </c>
    </row>
    <row r="57" spans="1:9" x14ac:dyDescent="0.2">
      <c r="A57" t="s">
        <v>10</v>
      </c>
      <c r="B57" t="s">
        <v>435</v>
      </c>
      <c r="C57" t="s">
        <v>11</v>
      </c>
      <c r="D57" t="s">
        <v>1058</v>
      </c>
      <c r="E57" t="s">
        <v>1058</v>
      </c>
      <c r="F57" t="s">
        <v>598</v>
      </c>
      <c r="G57">
        <f>B57*(((B57*(1-B57))/(I57^2))-1)</f>
        <v>98.990000000000023</v>
      </c>
      <c r="H57">
        <f>(1 - B57) * ( ((B57 * (1 - B57)) / (I57^2)) - 1 )</f>
        <v>9800.010000000002</v>
      </c>
      <c r="I57">
        <f t="shared" si="5"/>
        <v>1E-3</v>
      </c>
    </row>
    <row r="58" spans="1:9" x14ac:dyDescent="0.2">
      <c r="A58" t="s">
        <v>12</v>
      </c>
      <c r="B58">
        <v>0</v>
      </c>
      <c r="C58" t="s">
        <v>13</v>
      </c>
      <c r="D58" t="s">
        <v>1058</v>
      </c>
      <c r="E58" t="s">
        <v>1058</v>
      </c>
      <c r="F58" t="s">
        <v>598</v>
      </c>
      <c r="G58">
        <v>0</v>
      </c>
      <c r="H58">
        <v>0</v>
      </c>
      <c r="I58">
        <f t="shared" si="5"/>
        <v>0</v>
      </c>
    </row>
    <row r="59" spans="1:9" x14ac:dyDescent="0.2">
      <c r="A59" t="s">
        <v>14</v>
      </c>
      <c r="B59" t="s">
        <v>435</v>
      </c>
      <c r="C59" t="s">
        <v>15</v>
      </c>
      <c r="D59" t="s">
        <v>1058</v>
      </c>
      <c r="E59" t="s">
        <v>1058</v>
      </c>
      <c r="F59" t="s">
        <v>598</v>
      </c>
      <c r="G59">
        <f>B59*(((B59*(1-B59))/(I59^2))-1)</f>
        <v>98.990000000000023</v>
      </c>
      <c r="H59">
        <f>(1 - B59) * ( ((B59 * (1 - B59)) / (I59^2)) - 1 )</f>
        <v>9800.010000000002</v>
      </c>
      <c r="I59">
        <f t="shared" si="5"/>
        <v>1E-3</v>
      </c>
    </row>
    <row r="60" spans="1:9" x14ac:dyDescent="0.2">
      <c r="A60" t="s">
        <v>16</v>
      </c>
      <c r="B60">
        <v>0</v>
      </c>
      <c r="C60" t="s">
        <v>17</v>
      </c>
      <c r="D60" t="s">
        <v>1058</v>
      </c>
      <c r="E60" t="s">
        <v>1058</v>
      </c>
      <c r="F60" t="s">
        <v>598</v>
      </c>
      <c r="G60">
        <v>0</v>
      </c>
      <c r="H60">
        <v>0</v>
      </c>
      <c r="I60">
        <f t="shared" si="5"/>
        <v>0</v>
      </c>
    </row>
    <row r="61" spans="1:9" x14ac:dyDescent="0.2">
      <c r="A61" t="s">
        <v>18</v>
      </c>
      <c r="B61" t="s">
        <v>435</v>
      </c>
      <c r="C61" t="s">
        <v>19</v>
      </c>
      <c r="D61" t="s">
        <v>1058</v>
      </c>
      <c r="E61" t="s">
        <v>1058</v>
      </c>
      <c r="F61" t="s">
        <v>598</v>
      </c>
      <c r="G61">
        <f>B61*(((B61*(1-B61))/(I61^2))-1)</f>
        <v>98.990000000000023</v>
      </c>
      <c r="H61">
        <f>(1 - B61) * ( ((B61 * (1 - B61)) / (I61^2)) - 1 )</f>
        <v>9800.010000000002</v>
      </c>
      <c r="I61">
        <f t="shared" si="5"/>
        <v>1E-3</v>
      </c>
    </row>
    <row r="62" spans="1:9" x14ac:dyDescent="0.2">
      <c r="A62" t="s">
        <v>22</v>
      </c>
      <c r="B62">
        <v>0</v>
      </c>
      <c r="C62" t="s">
        <v>23</v>
      </c>
      <c r="D62" t="s">
        <v>1058</v>
      </c>
      <c r="E62" t="s">
        <v>1058</v>
      </c>
      <c r="F62" t="s">
        <v>598</v>
      </c>
      <c r="G62">
        <v>0</v>
      </c>
      <c r="H62">
        <v>0</v>
      </c>
      <c r="I62">
        <f t="shared" si="5"/>
        <v>0</v>
      </c>
    </row>
    <row r="63" spans="1:9" x14ac:dyDescent="0.2">
      <c r="A63" t="s">
        <v>24</v>
      </c>
      <c r="B63">
        <v>0</v>
      </c>
      <c r="C63" t="s">
        <v>25</v>
      </c>
      <c r="D63" t="s">
        <v>1058</v>
      </c>
      <c r="E63" t="s">
        <v>1058</v>
      </c>
      <c r="F63" t="s">
        <v>598</v>
      </c>
      <c r="G63">
        <v>0</v>
      </c>
      <c r="H63">
        <v>0</v>
      </c>
      <c r="I63">
        <f t="shared" si="5"/>
        <v>0</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30</vt:i4>
      </vt:variant>
    </vt:vector>
  </HeadingPairs>
  <TitlesOfParts>
    <vt:vector size="30" baseType="lpstr">
      <vt:lpstr>GENERAL_INPUTS</vt:lpstr>
      <vt:lpstr>STRATEGY_NAMES</vt:lpstr>
      <vt:lpstr>STATE_NAMES</vt:lpstr>
      <vt:lpstr>RTI_MODEL</vt:lpstr>
      <vt:lpstr>PROBS_TRANSITION</vt:lpstr>
      <vt:lpstr>PROBS_UREA</vt:lpstr>
      <vt:lpstr>PROBS_AgFECAL</vt:lpstr>
      <vt:lpstr>PROBS_EDA</vt:lpstr>
      <vt:lpstr>PROBS_PSEDA</vt:lpstr>
      <vt:lpstr>PROBS_SEROLOGY</vt:lpstr>
      <vt:lpstr>ERRAD_RATE</vt:lpstr>
      <vt:lpstr>COSTS</vt:lpstr>
      <vt:lpstr>UTILITIES</vt:lpstr>
      <vt:lpstr>PROBS_ACCEPT</vt:lpstr>
      <vt:lpstr>ERRA_COSTS_UF</vt:lpstr>
      <vt:lpstr>DISCOUNT_FACTOR</vt:lpstr>
      <vt:lpstr>PROB_DIE</vt:lpstr>
      <vt:lpstr>PROB_DIE_30_39</vt:lpstr>
      <vt:lpstr>PROB_DIE_31_100</vt:lpstr>
      <vt:lpstr>PROB_DIE_30_44</vt:lpstr>
      <vt:lpstr>PROB_DIE_41_100</vt:lpstr>
      <vt:lpstr>PROB_DIE_46_100</vt:lpstr>
      <vt:lpstr>PROB_DIE_30</vt:lpstr>
      <vt:lpstr>PROB_DIE_40</vt:lpstr>
      <vt:lpstr>PROB_DIE_45</vt:lpstr>
      <vt:lpstr>HR</vt:lpstr>
      <vt:lpstr>PREV_COSTS_UF</vt:lpstr>
      <vt:lpstr>PROBS_TRANSITION_ORG</vt:lpstr>
      <vt:lpstr>PROBS_TRANSITION (2)</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Flores Peñailillo (criflores)</dc:creator>
  <cp:lastModifiedBy>Cristian Flores</cp:lastModifiedBy>
  <cp:lastPrinted>2026-10-07T18:31:19Z</cp:lastPrinted>
  <dcterms:created xsi:type="dcterms:W3CDTF">2026-01-21T20:40:23Z</dcterms:created>
  <dcterms:modified xsi:type="dcterms:W3CDTF">2026-10-13T16:02:58Z</dcterms:modified>
</cp:coreProperties>
</file>